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quential Weeks (1st to 10th)" sheetId="1" state="visible" r:id="rId1"/>
    <sheet name="Month-Wise Weeks (1st to 5th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₹#,##0.0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1F497D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EDF2F8"/>
        <bgColor rgb="00EDF2F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3" fontId="4" fillId="5" borderId="2" applyAlignment="1" pivotButton="0" quotePrefix="0" xfId="0">
      <alignment horizontal="center" vertical="center"/>
    </xf>
    <xf numFmtId="164" fontId="4" fillId="5" borderId="2" applyAlignment="1" pivotButton="0" quotePrefix="0" xfId="0">
      <alignment horizontal="center" vertical="center"/>
    </xf>
    <xf numFmtId="165" fontId="4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8" customWidth="1" min="2" max="2"/>
    <col width="16" customWidth="1" min="3" max="3"/>
    <col width="18" customWidth="1" min="4" max="4"/>
    <col width="24" customWidth="1" min="5" max="5"/>
    <col width="26" customWidth="1" min="6" max="6"/>
    <col width="18" customWidth="1" min="7" max="7"/>
    <col width="16" customWidth="1" min="8" max="8"/>
    <col width="18" customWidth="1" min="9" max="9"/>
    <col width="16" customWidth="1" min="10" max="10"/>
  </cols>
  <sheetData>
    <row r="1" ht="40" customHeight="1">
      <c r="A1" s="1" t="inlineStr">
        <is>
          <t>JANVI AIKA - Sequential Week-Wise Order Volume Analytics (All 315 Orders)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3" ht="28" customHeight="1">
      <c r="A3" s="3" t="inlineStr">
        <is>
          <t>Week No</t>
        </is>
      </c>
      <c r="B3" s="4" t="inlineStr">
        <is>
          <t>Week Period</t>
        </is>
      </c>
      <c r="C3" s="3" t="inlineStr">
        <is>
          <t>Total Orders</t>
        </is>
      </c>
      <c r="D3" s="3" t="inlineStr">
        <is>
          <t>% of 315 Orders</t>
        </is>
      </c>
      <c r="E3" s="5" t="inlineStr">
        <is>
          <t>Total Sales Revenue</t>
        </is>
      </c>
      <c r="F3" s="5" t="inlineStr">
        <is>
          <t>Average Order Value (AOV)</t>
        </is>
      </c>
      <c r="G3" s="3" t="inlineStr">
        <is>
          <t>Delivered Orders</t>
        </is>
      </c>
      <c r="H3" s="3" t="inlineStr">
        <is>
          <t>RTO / Denied</t>
        </is>
      </c>
      <c r="I3" s="3" t="inlineStr">
        <is>
          <t>Canceled Orders</t>
        </is>
      </c>
      <c r="J3" s="3" t="inlineStr">
        <is>
          <t>Success Rate</t>
        </is>
      </c>
    </row>
    <row r="4" ht="22" customHeight="1">
      <c r="A4" s="6" t="n">
        <v>1</v>
      </c>
      <c r="B4" s="7" t="inlineStr">
        <is>
          <t>1st Week (Jun 22 - Jun 28)</t>
        </is>
      </c>
      <c r="C4" s="6" t="n">
        <v>27</v>
      </c>
      <c r="D4" s="8" t="n">
        <v>0.08571428571428572</v>
      </c>
      <c r="E4" s="9" t="n">
        <v>36902</v>
      </c>
      <c r="F4" s="9" t="n">
        <v>1366.740740740741</v>
      </c>
      <c r="G4" s="6" t="n">
        <v>26</v>
      </c>
      <c r="H4" s="6" t="n">
        <v>7</v>
      </c>
      <c r="I4" s="6" t="n">
        <v>1</v>
      </c>
      <c r="J4" s="8" t="n">
        <v>0.9629629629629629</v>
      </c>
    </row>
    <row r="5" ht="22" customHeight="1">
      <c r="A5" s="10" t="n">
        <v>2</v>
      </c>
      <c r="B5" s="11" t="inlineStr">
        <is>
          <t>2nd Week (Jun 29 - Jul 05)</t>
        </is>
      </c>
      <c r="C5" s="10" t="n">
        <v>40</v>
      </c>
      <c r="D5" s="12" t="n">
        <v>0.126984126984127</v>
      </c>
      <c r="E5" s="13" t="n">
        <v>65861</v>
      </c>
      <c r="F5" s="13" t="n">
        <v>1646.525</v>
      </c>
      <c r="G5" s="10" t="n">
        <v>39</v>
      </c>
      <c r="H5" s="10" t="n">
        <v>5</v>
      </c>
      <c r="I5" s="10" t="n">
        <v>1</v>
      </c>
      <c r="J5" s="12" t="n">
        <v>0.975</v>
      </c>
    </row>
    <row r="6" ht="22" customHeight="1">
      <c r="A6" s="6" t="n">
        <v>3</v>
      </c>
      <c r="B6" s="7" t="inlineStr">
        <is>
          <t>3rd Week (Jul 06 - Jul 12)</t>
        </is>
      </c>
      <c r="C6" s="6" t="n">
        <v>37</v>
      </c>
      <c r="D6" s="8" t="n">
        <v>0.1174603174603175</v>
      </c>
      <c r="E6" s="9" t="n">
        <v>64329</v>
      </c>
      <c r="F6" s="9" t="n">
        <v>1738.621621621622</v>
      </c>
      <c r="G6" s="6" t="n">
        <v>33</v>
      </c>
      <c r="H6" s="6" t="n">
        <v>1</v>
      </c>
      <c r="I6" s="6" t="n">
        <v>4</v>
      </c>
      <c r="J6" s="8" t="n">
        <v>0.8918918918918919</v>
      </c>
    </row>
    <row r="7" ht="22" customHeight="1">
      <c r="A7" s="10" t="n">
        <v>4</v>
      </c>
      <c r="B7" s="11" t="inlineStr">
        <is>
          <t>4th Week (Jul 13 - Jul 19)</t>
        </is>
      </c>
      <c r="C7" s="10" t="n">
        <v>23</v>
      </c>
      <c r="D7" s="12" t="n">
        <v>0.07301587301587302</v>
      </c>
      <c r="E7" s="13" t="n">
        <v>49300</v>
      </c>
      <c r="F7" s="13" t="n">
        <v>2143.478260869565</v>
      </c>
      <c r="G7" s="10" t="n">
        <v>22</v>
      </c>
      <c r="H7" s="10" t="n">
        <v>0</v>
      </c>
      <c r="I7" s="10" t="n">
        <v>1</v>
      </c>
      <c r="J7" s="12" t="n">
        <v>0.9565217391304348</v>
      </c>
    </row>
    <row r="8" ht="22" customHeight="1">
      <c r="A8" s="6" t="n">
        <v>5</v>
      </c>
      <c r="B8" s="7" t="inlineStr">
        <is>
          <t>5th Week (Jul 20 - Jul 26)</t>
        </is>
      </c>
      <c r="C8" s="6" t="n">
        <v>28</v>
      </c>
      <c r="D8" s="8" t="n">
        <v>0.08888888888888889</v>
      </c>
      <c r="E8" s="9" t="n">
        <v>52546</v>
      </c>
      <c r="F8" s="9" t="n">
        <v>1876.642857142857</v>
      </c>
      <c r="G8" s="6" t="n">
        <v>28</v>
      </c>
      <c r="H8" s="6" t="n">
        <v>2</v>
      </c>
      <c r="I8" s="6" t="n">
        <v>0</v>
      </c>
      <c r="J8" s="8" t="n">
        <v>1</v>
      </c>
    </row>
    <row r="9" ht="22" customHeight="1">
      <c r="A9" s="10" t="n">
        <v>6</v>
      </c>
      <c r="B9" s="11" t="inlineStr">
        <is>
          <t>6th Week (Jul 27 - Aug 02)</t>
        </is>
      </c>
      <c r="C9" s="10" t="n">
        <v>35</v>
      </c>
      <c r="D9" s="12" t="n">
        <v>0.1111111111111111</v>
      </c>
      <c r="E9" s="13" t="n">
        <v>99049</v>
      </c>
      <c r="F9" s="13" t="n">
        <v>2829.971428571429</v>
      </c>
      <c r="G9" s="10" t="n">
        <v>34</v>
      </c>
      <c r="H9" s="10" t="n">
        <v>3</v>
      </c>
      <c r="I9" s="10" t="n">
        <v>1</v>
      </c>
      <c r="J9" s="12" t="n">
        <v>0.9714285714285714</v>
      </c>
    </row>
    <row r="10" ht="22" customHeight="1">
      <c r="A10" s="6" t="n">
        <v>7</v>
      </c>
      <c r="B10" s="7" t="inlineStr">
        <is>
          <t>7th Week (Aug 03 - Aug 09)</t>
        </is>
      </c>
      <c r="C10" s="6" t="n">
        <v>23</v>
      </c>
      <c r="D10" s="8" t="n">
        <v>0.07301587301587302</v>
      </c>
      <c r="E10" s="9" t="n">
        <v>67934</v>
      </c>
      <c r="F10" s="9" t="n">
        <v>2953.652173913043</v>
      </c>
      <c r="G10" s="6" t="n">
        <v>21</v>
      </c>
      <c r="H10" s="6" t="n">
        <v>0</v>
      </c>
      <c r="I10" s="6" t="n">
        <v>2</v>
      </c>
      <c r="J10" s="8" t="n">
        <v>0.9130434782608695</v>
      </c>
    </row>
    <row r="11" ht="22" customHeight="1">
      <c r="A11" s="10" t="n">
        <v>8</v>
      </c>
      <c r="B11" s="11" t="inlineStr">
        <is>
          <t>8th Week (Aug 10 - Aug 16)</t>
        </is>
      </c>
      <c r="C11" s="10" t="n">
        <v>30</v>
      </c>
      <c r="D11" s="12" t="n">
        <v>0.09523809523809523</v>
      </c>
      <c r="E11" s="13" t="n">
        <v>72740.35000000001</v>
      </c>
      <c r="F11" s="13" t="n">
        <v>2424.678333333334</v>
      </c>
      <c r="G11" s="10" t="n">
        <v>28</v>
      </c>
      <c r="H11" s="10" t="n">
        <v>1</v>
      </c>
      <c r="I11" s="10" t="n">
        <v>1</v>
      </c>
      <c r="J11" s="12" t="n">
        <v>0.9333333333333333</v>
      </c>
    </row>
    <row r="12" ht="22" customHeight="1">
      <c r="A12" s="6" t="n">
        <v>9</v>
      </c>
      <c r="B12" s="7" t="inlineStr">
        <is>
          <t>9th Week (Aug 17 - Aug 23)</t>
        </is>
      </c>
      <c r="C12" s="6" t="n">
        <v>47</v>
      </c>
      <c r="D12" s="8" t="n">
        <v>0.1492063492063492</v>
      </c>
      <c r="E12" s="9" t="n">
        <v>100213.34</v>
      </c>
      <c r="F12" s="9" t="n">
        <v>2132.198723404255</v>
      </c>
      <c r="G12" s="6" t="n">
        <v>29</v>
      </c>
      <c r="H12" s="6" t="n">
        <v>1</v>
      </c>
      <c r="I12" s="6" t="n">
        <v>1</v>
      </c>
      <c r="J12" s="8" t="n">
        <v>0.6170212765957447</v>
      </c>
    </row>
    <row r="13" ht="22" customHeight="1">
      <c r="A13" s="10" t="n">
        <v>10</v>
      </c>
      <c r="B13" s="11" t="inlineStr">
        <is>
          <t>10th Week (Aug 24 - Aug 30)</t>
        </is>
      </c>
      <c r="C13" s="10" t="n">
        <v>25</v>
      </c>
      <c r="D13" s="12" t="n">
        <v>0.07936507936507936</v>
      </c>
      <c r="E13" s="13" t="n">
        <v>53850</v>
      </c>
      <c r="F13" s="13" t="n">
        <v>2154</v>
      </c>
      <c r="G13" s="10" t="n">
        <v>1</v>
      </c>
      <c r="H13" s="10" t="n">
        <v>0</v>
      </c>
      <c r="I13" s="10" t="n">
        <v>0</v>
      </c>
      <c r="J13" s="12" t="n">
        <v>0.04</v>
      </c>
    </row>
    <row r="14" ht="26" customHeight="1">
      <c r="A14" s="14" t="inlineStr">
        <is>
          <t>Total</t>
        </is>
      </c>
      <c r="B14" s="15" t="inlineStr">
        <is>
          <t>All Weeks Combined</t>
        </is>
      </c>
      <c r="C14" s="16">
        <f>SUM(C4:C13)</f>
        <v/>
      </c>
      <c r="D14" s="17">
        <f>SUM(D4:D13)</f>
        <v/>
      </c>
      <c r="E14" s="18">
        <f>SUM(E4:E13)</f>
        <v/>
      </c>
      <c r="F14" s="18">
        <f>E14/C14</f>
        <v/>
      </c>
      <c r="G14" s="16">
        <f>SUM(G4:G13)</f>
        <v/>
      </c>
      <c r="H14" s="16">
        <f>SUM(H4:H13)</f>
        <v/>
      </c>
      <c r="I14" s="16">
        <f>SUM(I4:I13)</f>
        <v/>
      </c>
      <c r="J14" s="17">
        <f>G14/C14</f>
        <v/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8" customWidth="1" min="2" max="2"/>
    <col width="16" customWidth="1" min="3" max="3"/>
    <col width="18" customWidth="1" min="4" max="4"/>
    <col width="24" customWidth="1" min="5" max="5"/>
    <col width="26" customWidth="1" min="6" max="6"/>
    <col width="18" customWidth="1" min="7" max="7"/>
    <col width="16" customWidth="1" min="8" max="8"/>
    <col width="18" customWidth="1" min="9" max="9"/>
    <col width="16" customWidth="1" min="10" max="10"/>
  </cols>
  <sheetData>
    <row r="1" ht="40" customHeight="1">
      <c r="A1" s="1" t="inlineStr">
        <is>
          <t>JANVI AIKA - Monthly Week-Wise Breakdown (1st Week to 5th Week)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3">
      <c r="A3" s="3" t="inlineStr">
        <is>
          <t>Week No</t>
        </is>
      </c>
      <c r="B3" s="4" t="inlineStr">
        <is>
          <t>Week Period</t>
        </is>
      </c>
      <c r="C3" s="3" t="inlineStr">
        <is>
          <t>Total Orders</t>
        </is>
      </c>
      <c r="D3" s="3" t="inlineStr">
        <is>
          <t>% of 315 Orders</t>
        </is>
      </c>
      <c r="E3" s="5" t="inlineStr">
        <is>
          <t>Total Sales Revenue</t>
        </is>
      </c>
      <c r="F3" s="5" t="inlineStr">
        <is>
          <t>Average Order Value (AOV)</t>
        </is>
      </c>
      <c r="G3" s="3" t="inlineStr">
        <is>
          <t>Delivered Orders</t>
        </is>
      </c>
      <c r="H3" s="3" t="inlineStr">
        <is>
          <t>RTO / Denied</t>
        </is>
      </c>
      <c r="I3" s="3" t="inlineStr">
        <is>
          <t>Canceled Orders</t>
        </is>
      </c>
      <c r="J3" s="3" t="inlineStr">
        <is>
          <t>Success Rate</t>
        </is>
      </c>
    </row>
    <row r="4" ht="22" customHeight="1">
      <c r="A4" s="6" t="n">
        <v>1</v>
      </c>
      <c r="B4" s="7" t="inlineStr">
        <is>
          <t>June 2026 - 4th Week (22-28)</t>
        </is>
      </c>
      <c r="C4" s="6" t="n">
        <v>27</v>
      </c>
      <c r="D4" s="8" t="n">
        <v>0.08571428571428572</v>
      </c>
      <c r="E4" s="9" t="n">
        <v>36902</v>
      </c>
      <c r="F4" s="9" t="n">
        <v>1366.740740740741</v>
      </c>
      <c r="G4" s="6" t="n">
        <v>26</v>
      </c>
      <c r="H4" s="6" t="n">
        <v>7</v>
      </c>
      <c r="I4" s="6" t="n">
        <v>1</v>
      </c>
      <c r="J4" s="8" t="n">
        <v>0.9629629629629629</v>
      </c>
    </row>
    <row r="5" ht="22" customHeight="1">
      <c r="A5" s="10" t="n">
        <v>2</v>
      </c>
      <c r="B5" s="11" t="inlineStr">
        <is>
          <t>June 2026 - 5th Week (29-31)</t>
        </is>
      </c>
      <c r="C5" s="10" t="n">
        <v>10</v>
      </c>
      <c r="D5" s="12" t="n">
        <v>0.03174603174603174</v>
      </c>
      <c r="E5" s="13" t="n">
        <v>16184</v>
      </c>
      <c r="F5" s="13" t="n">
        <v>1618.4</v>
      </c>
      <c r="G5" s="10" t="n">
        <v>10</v>
      </c>
      <c r="H5" s="10" t="n">
        <v>3</v>
      </c>
      <c r="I5" s="10" t="n">
        <v>0</v>
      </c>
      <c r="J5" s="12" t="n">
        <v>1</v>
      </c>
    </row>
    <row r="6" ht="22" customHeight="1">
      <c r="A6" s="6" t="n">
        <v>3</v>
      </c>
      <c r="B6" s="7" t="inlineStr">
        <is>
          <t>July 2026 - 1st Week (1-7)</t>
        </is>
      </c>
      <c r="C6" s="6" t="n">
        <v>39</v>
      </c>
      <c r="D6" s="8" t="n">
        <v>0.1238095238095238</v>
      </c>
      <c r="E6" s="9" t="n">
        <v>61767</v>
      </c>
      <c r="F6" s="9" t="n">
        <v>1583.769230769231</v>
      </c>
      <c r="G6" s="6" t="n">
        <v>37</v>
      </c>
      <c r="H6" s="6" t="n">
        <v>3</v>
      </c>
      <c r="I6" s="6" t="n">
        <v>2</v>
      </c>
      <c r="J6" s="8" t="n">
        <v>0.9487179487179487</v>
      </c>
    </row>
    <row r="7" ht="22" customHeight="1">
      <c r="A7" s="10" t="n">
        <v>4</v>
      </c>
      <c r="B7" s="11" t="inlineStr">
        <is>
          <t>July 2026 - 2nd Week (8-14)</t>
        </is>
      </c>
      <c r="C7" s="10" t="n">
        <v>33</v>
      </c>
      <c r="D7" s="12" t="n">
        <v>0.1047619047619048</v>
      </c>
      <c r="E7" s="13" t="n">
        <v>61295</v>
      </c>
      <c r="F7" s="13" t="n">
        <v>1857.424242424242</v>
      </c>
      <c r="G7" s="10" t="n">
        <v>30</v>
      </c>
      <c r="H7" s="10" t="n">
        <v>0</v>
      </c>
      <c r="I7" s="10" t="n">
        <v>3</v>
      </c>
      <c r="J7" s="12" t="n">
        <v>0.9090909090909091</v>
      </c>
    </row>
    <row r="8" ht="22" customHeight="1">
      <c r="A8" s="6" t="n">
        <v>5</v>
      </c>
      <c r="B8" s="7" t="inlineStr">
        <is>
          <t>July 2026 - 3rd Week (15-21)</t>
        </is>
      </c>
      <c r="C8" s="6" t="n">
        <v>27</v>
      </c>
      <c r="D8" s="8" t="n">
        <v>0.08571428571428572</v>
      </c>
      <c r="E8" s="9" t="n">
        <v>53650</v>
      </c>
      <c r="F8" s="9" t="n">
        <v>1987.037037037037</v>
      </c>
      <c r="G8" s="6" t="n">
        <v>26</v>
      </c>
      <c r="H8" s="6" t="n">
        <v>0</v>
      </c>
      <c r="I8" s="6" t="n">
        <v>1</v>
      </c>
      <c r="J8" s="8" t="n">
        <v>0.9629629629629629</v>
      </c>
    </row>
    <row r="9" ht="22" customHeight="1">
      <c r="A9" s="10" t="n">
        <v>6</v>
      </c>
      <c r="B9" s="11" t="inlineStr">
        <is>
          <t>July 2026 - 4th Week (22-28)</t>
        </is>
      </c>
      <c r="C9" s="10" t="n">
        <v>28</v>
      </c>
      <c r="D9" s="12" t="n">
        <v>0.08888888888888889</v>
      </c>
      <c r="E9" s="13" t="n">
        <v>59490</v>
      </c>
      <c r="F9" s="13" t="n">
        <v>2124.642857142857</v>
      </c>
      <c r="G9" s="10" t="n">
        <v>28</v>
      </c>
      <c r="H9" s="10" t="n">
        <v>3</v>
      </c>
      <c r="I9" s="10" t="n">
        <v>0</v>
      </c>
      <c r="J9" s="12" t="n">
        <v>1</v>
      </c>
    </row>
    <row r="10" ht="22" customHeight="1">
      <c r="A10" s="6" t="n">
        <v>7</v>
      </c>
      <c r="B10" s="7" t="inlineStr">
        <is>
          <t>July 2026 - 5th Week (29-31)</t>
        </is>
      </c>
      <c r="C10" s="6" t="n">
        <v>13</v>
      </c>
      <c r="D10" s="8" t="n">
        <v>0.04126984126984127</v>
      </c>
      <c r="E10" s="9" t="n">
        <v>30200</v>
      </c>
      <c r="F10" s="9" t="n">
        <v>2323.076923076923</v>
      </c>
      <c r="G10" s="6" t="n">
        <v>13</v>
      </c>
      <c r="H10" s="6" t="n">
        <v>1</v>
      </c>
      <c r="I10" s="6" t="n">
        <v>0</v>
      </c>
      <c r="J10" s="8" t="n">
        <v>1</v>
      </c>
    </row>
    <row r="11" ht="22" customHeight="1">
      <c r="A11" s="10" t="n">
        <v>8</v>
      </c>
      <c r="B11" s="11" t="inlineStr">
        <is>
          <t>August 2026 - 1st Week (1-7)</t>
        </is>
      </c>
      <c r="C11" s="10" t="n">
        <v>31</v>
      </c>
      <c r="D11" s="12" t="n">
        <v>0.09841269841269841</v>
      </c>
      <c r="E11" s="13" t="n">
        <v>107971</v>
      </c>
      <c r="F11" s="13" t="n">
        <v>3482.935483870968</v>
      </c>
      <c r="G11" s="10" t="n">
        <v>29</v>
      </c>
      <c r="H11" s="10" t="n">
        <v>1</v>
      </c>
      <c r="I11" s="10" t="n">
        <v>2</v>
      </c>
      <c r="J11" s="12" t="n">
        <v>0.9354838709677419</v>
      </c>
    </row>
    <row r="12" ht="22" customHeight="1">
      <c r="A12" s="6" t="n">
        <v>9</v>
      </c>
      <c r="B12" s="7" t="inlineStr">
        <is>
          <t>August 2026 - 2nd Week (8-14)</t>
        </is>
      </c>
      <c r="C12" s="6" t="n">
        <v>23</v>
      </c>
      <c r="D12" s="8" t="n">
        <v>0.07301587301587302</v>
      </c>
      <c r="E12" s="9" t="n">
        <v>45662.35</v>
      </c>
      <c r="F12" s="9" t="n">
        <v>1985.319565217391</v>
      </c>
      <c r="G12" s="6" t="n">
        <v>22</v>
      </c>
      <c r="H12" s="6" t="n">
        <v>0</v>
      </c>
      <c r="I12" s="6" t="n">
        <v>1</v>
      </c>
      <c r="J12" s="8" t="n">
        <v>0.9565217391304348</v>
      </c>
    </row>
    <row r="13" ht="22" customHeight="1">
      <c r="A13" s="10" t="n">
        <v>10</v>
      </c>
      <c r="B13" s="11" t="inlineStr">
        <is>
          <t>August 2026 - 3rd Week (15-21)</t>
        </is>
      </c>
      <c r="C13" s="10" t="n">
        <v>42</v>
      </c>
      <c r="D13" s="12" t="n">
        <v>0.1333333333333333</v>
      </c>
      <c r="E13" s="13" t="n">
        <v>102130</v>
      </c>
      <c r="F13" s="13" t="n">
        <v>2431.666666666667</v>
      </c>
      <c r="G13" s="10" t="n">
        <v>32</v>
      </c>
      <c r="H13" s="10" t="n">
        <v>2</v>
      </c>
      <c r="I13" s="10" t="n">
        <v>2</v>
      </c>
      <c r="J13" s="12" t="n">
        <v>0.7619047619047619</v>
      </c>
    </row>
    <row r="14" ht="22" customHeight="1">
      <c r="A14" s="6" t="n">
        <v>11</v>
      </c>
      <c r="B14" s="7" t="inlineStr">
        <is>
          <t>August 2026 - 4th Week (22-28)</t>
        </is>
      </c>
      <c r="C14" s="6" t="n">
        <v>42</v>
      </c>
      <c r="D14" s="8" t="n">
        <v>0.1333333333333333</v>
      </c>
      <c r="E14" s="9" t="n">
        <v>87473.34</v>
      </c>
      <c r="F14" s="9" t="n">
        <v>2082.698571428572</v>
      </c>
      <c r="G14" s="6" t="n">
        <v>8</v>
      </c>
      <c r="H14" s="6" t="n">
        <v>0</v>
      </c>
      <c r="I14" s="6" t="n">
        <v>0</v>
      </c>
      <c r="J14" s="8" t="n">
        <v>0.1904761904761905</v>
      </c>
    </row>
    <row r="15" ht="26" customHeight="1">
      <c r="A15" s="14" t="inlineStr">
        <is>
          <t>Total</t>
        </is>
      </c>
      <c r="B15" s="15" t="inlineStr">
        <is>
          <t>All Monthly Weeks Combined</t>
        </is>
      </c>
      <c r="C15" s="16">
        <f>SUM(C4:C14)</f>
        <v/>
      </c>
      <c r="D15" s="17">
        <f>SUM(D4:D14)</f>
        <v/>
      </c>
      <c r="E15" s="18">
        <f>SUM(E4:E14)</f>
        <v/>
      </c>
      <c r="F15" s="18">
        <f>E15/C15</f>
        <v/>
      </c>
      <c r="G15" s="16">
        <f>SUM(G4:G14)</f>
        <v/>
      </c>
      <c r="H15" s="16">
        <f>SUM(H4:H14)</f>
        <v/>
      </c>
      <c r="I15" s="16">
        <f>SUM(I4:I14)</f>
        <v/>
      </c>
      <c r="J15" s="17">
        <f>G15/C15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2026-08-28T06:12:07Z</dcterms:created>
  <dcterms:modified xsi:type="dcterms:W3CDTF">2026-08-28T06:12:07Z</dcterms:modified>
</cp:coreProperties>
</file>