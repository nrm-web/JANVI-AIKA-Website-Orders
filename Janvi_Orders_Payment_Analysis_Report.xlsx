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Report" sheetId="1" state="visible" r:id="rId1"/>
    <sheet name="Side_By_Side_Comparison" sheetId="2" state="visible" r:id="rId2"/>
    <sheet name="COD_Day_Wise" sheetId="3" state="visible" r:id="rId3"/>
    <sheet name="Partial_COD_Day_Wise" sheetId="4" state="visible" r:id="rId4"/>
    <sheet name="Prepaid_Day_Wise" sheetId="5" state="visible" r:id="rId5"/>
    <sheet name="Day_Wise_Report" sheetId="6" state="visible" r:id="rId6"/>
    <sheet name="Master_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s. #,##0.0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1"/>
    </font>
    <font>
      <name val="Segoe UI"/>
      <b val="1"/>
      <color rgb="001B365D"/>
      <sz val="12"/>
    </font>
    <font>
      <name val="Segoe UI"/>
      <b val="1"/>
      <color rgb="00555555"/>
      <sz val="9"/>
    </font>
    <font>
      <name val="Segoe UI"/>
      <b val="1"/>
      <color rgb="001B365D"/>
      <sz val="16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1B365D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4F7FA"/>
        <bgColor rgb="00F4F7FA"/>
      </patternFill>
    </fill>
    <fill>
      <patternFill patternType="solid">
        <fgColor rgb="00FDF2F2"/>
        <bgColor rgb="00FDF2F2"/>
      </patternFill>
    </fill>
    <fill>
      <patternFill patternType="solid">
        <fgColor rgb="00FEF9E7"/>
        <bgColor rgb="00FEF9E7"/>
      </patternFill>
    </fill>
    <fill>
      <patternFill patternType="solid">
        <fgColor rgb="00EAF2F8"/>
        <bgColor rgb="00EAF2F8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0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10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3" fontId="8" fillId="4" borderId="2" applyAlignment="1" pivotButton="0" quotePrefix="0" xfId="0">
      <alignment horizontal="right" vertical="center"/>
    </xf>
    <xf numFmtId="10" fontId="8" fillId="4" borderId="2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9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3" fontId="8" fillId="4" borderId="2" pivotButton="0" quotePrefix="0" xfId="0"/>
    <xf numFmtId="164" fontId="8" fillId="4" borderId="2" pivotButton="0" quotePrefix="0" xfId="0"/>
    <xf numFmtId="0" fontId="7" fillId="5" borderId="1" applyAlignment="1" pivotButton="0" quotePrefix="0" xfId="0">
      <alignment horizontal="center" vertical="center"/>
    </xf>
    <xf numFmtId="10" fontId="8" fillId="4" borderId="2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7" fillId="8" borderId="1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72" customWidth="1" min="2" max="2"/>
    <col width="80" customWidth="1" min="3" max="3"/>
    <col width="45" customWidth="1" min="4" max="4"/>
    <col width="69" customWidth="1" min="5" max="5"/>
    <col width="67" customWidth="1" min="6" max="6"/>
    <col width="87" customWidth="1" min="7" max="7"/>
    <col width="108" customWidth="1" min="8" max="8"/>
    <col width="105" customWidth="1" min="9" max="9"/>
    <col width="14" customWidth="1" min="10" max="10"/>
    <col width="202" customWidth="1" min="11" max="11"/>
    <col width="86" customWidth="1" min="12" max="12"/>
    <col width="26" customWidth="1" min="13" max="13"/>
  </cols>
  <sheetData>
    <row r="1">
      <c r="A1" s="1" t="inlineStr">
        <is>
          <t>JANVI AIKA - EXECUTIVE ORDER ANALYSIS REPORT: COD vs. PARTIAL COD vs. PREPAID ORDERS</t>
        </is>
      </c>
    </row>
    <row r="2"/>
    <row r="3">
      <c r="A3" s="2" t="inlineStr">
        <is>
          <t>Comprehensive Performance Evaluation, Delivery Realization, RTO Risk Assessment &amp; Strategic Action Plan</t>
        </is>
      </c>
    </row>
    <row r="4"/>
    <row r="5">
      <c r="A5" s="3" t="inlineStr">
        <is>
          <t>1. EXECUTIVE KPI SUMMARY</t>
        </is>
      </c>
    </row>
    <row r="6">
      <c r="A6" s="4" t="inlineStr">
        <is>
          <t>TOTAL ORDERS</t>
        </is>
      </c>
      <c r="B6" s="5" t="n"/>
      <c r="C6" s="4" t="inlineStr">
        <is>
          <t>TOTAL GROSS REVENUE</t>
        </is>
      </c>
      <c r="D6" s="5" t="n"/>
      <c r="E6" s="4" t="inlineStr">
        <is>
          <t>NET DELIVERED REVENUE</t>
        </is>
      </c>
      <c r="F6" s="5" t="n"/>
      <c r="G6" s="4" t="inlineStr">
        <is>
          <t>DELIVERY SUCCESS RATE</t>
        </is>
      </c>
      <c r="H6" s="5" t="n"/>
      <c r="I6" s="4" t="inlineStr">
        <is>
          <t>COD RTO REVENUE LOSS</t>
        </is>
      </c>
      <c r="J6" s="5" t="n"/>
      <c r="K6" s="4" t="inlineStr">
        <is>
          <t>COD FAILURE RATE</t>
        </is>
      </c>
      <c r="L6" s="5" t="n"/>
    </row>
    <row r="7">
      <c r="A7" s="6">
        <f>COUNT(Master_Orders!A2:A174)</f>
        <v/>
      </c>
      <c r="B7" s="5" t="n"/>
      <c r="C7" s="7">
        <f>SUM(Master_Orders!E2:E174)</f>
        <v/>
      </c>
      <c r="D7" s="5" t="n"/>
      <c r="E7" s="7">
        <f>SUMIF(Master_Orders!K2:K174, "Delivered", Master_Orders!E2:E174)</f>
        <v/>
      </c>
      <c r="F7" s="5" t="n"/>
      <c r="G7" s="8">
        <f>COUNTIF(Master_Orders!K2:K174, "Delivered")/COUNT(Master_Orders!A2:A174)</f>
        <v/>
      </c>
      <c r="H7" s="5" t="n"/>
      <c r="I7" s="7">
        <f>SUMIFS(Master_Orders!E2:E174, Master_Orders!J2:J174, "COD", Master_Orders!K2:K174, "RTO / Returned")</f>
        <v/>
      </c>
      <c r="J7" s="5" t="n"/>
      <c r="K7" s="8">
        <f>(COUNTIFS(Master_Orders!J2:J174, "COD", Master_Orders!K2:K174, "RTO / Returned") + COUNTIFS(Master_Orders!J2:J174, "COD", Master_Orders!K2:K174, "Canceled")) / COUNTIF(Master_Orders!J2:J174, "COD")</f>
        <v/>
      </c>
      <c r="L7" s="5" t="n"/>
    </row>
    <row r="8"/>
    <row r="9">
      <c r="A9" s="3" t="inlineStr">
        <is>
          <t>2. PAYMENT CATEGORY COMPARATIVE REALIZATION MATRIX</t>
        </is>
      </c>
    </row>
    <row r="10">
      <c r="A10" s="9" t="inlineStr">
        <is>
          <t>Payment Category</t>
        </is>
      </c>
      <c r="B10" s="9" t="inlineStr">
        <is>
          <t>Total Orders</t>
        </is>
      </c>
      <c r="C10" s="9" t="inlineStr">
        <is>
          <t>Order Share %</t>
        </is>
      </c>
      <c r="D10" s="9" t="inlineStr">
        <is>
          <t>Gross Revenue (Rs.)</t>
        </is>
      </c>
      <c r="E10" s="9" t="inlineStr">
        <is>
          <t>Revenue Share %</t>
        </is>
      </c>
      <c r="F10" s="9" t="inlineStr">
        <is>
          <t>AOV (Rs.)</t>
        </is>
      </c>
      <c r="G10" s="9" t="inlineStr">
        <is>
          <t>Delivered Count</t>
        </is>
      </c>
      <c r="H10" s="9" t="inlineStr">
        <is>
          <t>Delivered Net Rev (Rs.)</t>
        </is>
      </c>
      <c r="I10" s="9" t="inlineStr">
        <is>
          <t>RTO Count</t>
        </is>
      </c>
      <c r="J10" s="9" t="inlineStr">
        <is>
          <t>RTO Rate %</t>
        </is>
      </c>
      <c r="K10" s="9" t="inlineStr">
        <is>
          <t>RTO Rev at Risk (Rs.)</t>
        </is>
      </c>
      <c r="L10" s="9" t="inlineStr">
        <is>
          <t>Canceled Count</t>
        </is>
      </c>
      <c r="M10" s="9" t="inlineStr">
        <is>
          <t>Overall Failure Rate %</t>
        </is>
      </c>
    </row>
    <row r="11">
      <c r="A11" s="10" t="inlineStr">
        <is>
          <t>Cash on Delivery (COD)</t>
        </is>
      </c>
      <c r="B11" s="11">
        <f>COUNTIF(Master_Orders!J2:J174, "COD")</f>
        <v/>
      </c>
      <c r="C11" s="12">
        <f>B11/B14</f>
        <v/>
      </c>
      <c r="D11" s="13">
        <f>SUMIF(Master_Orders!J2:J174, "COD", Master_Orders!E2:E174)</f>
        <v/>
      </c>
      <c r="E11" s="12">
        <f>D11/D14</f>
        <v/>
      </c>
      <c r="F11" s="13">
        <f>D11/B11</f>
        <v/>
      </c>
      <c r="G11" s="11">
        <f>COUNTIFS(Master_Orders!J2:J174, "COD", Master_Orders!K2:K174, "Delivered")</f>
        <v/>
      </c>
      <c r="H11" s="13">
        <f>SUMIFS(Master_Orders!E2:E174, Master_Orders!J2:J174, "COD", Master_Orders!K2:K174, "Delivered")</f>
        <v/>
      </c>
      <c r="I11" s="11">
        <f>COUNTIFS(Master_Orders!J2:J174, "COD", Master_Orders!K2:K174, "RTO / Returned")</f>
        <v/>
      </c>
      <c r="J11" s="12">
        <f>I11/B11</f>
        <v/>
      </c>
      <c r="K11" s="13">
        <f>SUMIFS(Master_Orders!E2:E174, Master_Orders!J2:J174, "COD", Master_Orders!K2:K174, "RTO / Returned")</f>
        <v/>
      </c>
      <c r="L11" s="11">
        <f>COUNTIFS(Master_Orders!J2:J174, "COD", Master_Orders!K2:K174, "Canceled")</f>
        <v/>
      </c>
      <c r="M11" s="12">
        <f>(I11+L11)/B11</f>
        <v/>
      </c>
    </row>
    <row r="12">
      <c r="A12" s="14" t="inlineStr">
        <is>
          <t>Partial COD</t>
        </is>
      </c>
      <c r="B12" s="15">
        <f>COUNTIF(Master_Orders!J2:J174, "Partial COD")</f>
        <v/>
      </c>
      <c r="C12" s="16">
        <f>B12/B14</f>
        <v/>
      </c>
      <c r="D12" s="17">
        <f>SUMIF(Master_Orders!J2:J174, "Partial COD", Master_Orders!E2:E174)</f>
        <v/>
      </c>
      <c r="E12" s="16">
        <f>D12/D14</f>
        <v/>
      </c>
      <c r="F12" s="17">
        <f>D12/B12</f>
        <v/>
      </c>
      <c r="G12" s="15">
        <f>COUNTIFS(Master_Orders!J2:J174, "Partial COD", Master_Orders!K2:K174, "Delivered")</f>
        <v/>
      </c>
      <c r="H12" s="17">
        <f>SUMIFS(Master_Orders!E2:E174, Master_Orders!J2:J174, "Partial COD", Master_Orders!K2:K174, "Delivered")</f>
        <v/>
      </c>
      <c r="I12" s="15">
        <f>COUNTIFS(Master_Orders!J2:J174, "Partial COD", Master_Orders!K2:K174, "RTO / Returned")</f>
        <v/>
      </c>
      <c r="J12" s="16">
        <f>I12/B12</f>
        <v/>
      </c>
      <c r="K12" s="17">
        <f>SUMIFS(Master_Orders!E2:E174, Master_Orders!J2:J174, "Partial COD", Master_Orders!K2:K174, "RTO / Returned")</f>
        <v/>
      </c>
      <c r="L12" s="15">
        <f>COUNTIFS(Master_Orders!J2:J174, "Partial COD", Master_Orders!K2:K174, "Canceled")</f>
        <v/>
      </c>
      <c r="M12" s="16">
        <f>(I12+L12)/B12</f>
        <v/>
      </c>
    </row>
    <row r="13">
      <c r="A13" s="18" t="inlineStr">
        <is>
          <t>Prepaid (Razorpay / UPI / Cards)</t>
        </is>
      </c>
      <c r="B13" s="19">
        <f>COUNTIF(Master_Orders!J2:J174, "Prepaid")</f>
        <v/>
      </c>
      <c r="C13" s="20">
        <f>B13/B14</f>
        <v/>
      </c>
      <c r="D13" s="21">
        <f>SUMIF(Master_Orders!J2:J174, "Prepaid", Master_Orders!E2:E174)</f>
        <v/>
      </c>
      <c r="E13" s="20">
        <f>D13/D14</f>
        <v/>
      </c>
      <c r="F13" s="21">
        <f>D13/B13</f>
        <v/>
      </c>
      <c r="G13" s="19">
        <f>COUNTIFS(Master_Orders!J2:J174, "Prepaid", Master_Orders!K2:K174, "Delivered")</f>
        <v/>
      </c>
      <c r="H13" s="21">
        <f>SUMIFS(Master_Orders!E2:E174, Master_Orders!J2:J174, "Prepaid", Master_Orders!K2:K174, "Delivered")</f>
        <v/>
      </c>
      <c r="I13" s="19">
        <f>COUNTIFS(Master_Orders!J2:J174, "Prepaid", Master_Orders!K2:K174, "RTO / Returned")</f>
        <v/>
      </c>
      <c r="J13" s="20">
        <f>I13/B13</f>
        <v/>
      </c>
      <c r="K13" s="21">
        <f>SUMIFS(Master_Orders!E2:E174, Master_Orders!J2:J174, "Prepaid", Master_Orders!K2:K174, "RTO / Returned")</f>
        <v/>
      </c>
      <c r="L13" s="19">
        <f>COUNTIFS(Master_Orders!J2:J174, "Prepaid", Master_Orders!K2:K174, "Canceled")</f>
        <v/>
      </c>
      <c r="M13" s="20">
        <f>(I13+L13)/B13</f>
        <v/>
      </c>
    </row>
    <row r="14">
      <c r="A14" s="22" t="inlineStr">
        <is>
          <t>Total Portfolio / Combined</t>
        </is>
      </c>
      <c r="B14" s="23">
        <f>SUM(B11:B13)</f>
        <v/>
      </c>
      <c r="C14" s="24">
        <f>SUM(C11:C13)</f>
        <v/>
      </c>
      <c r="D14" s="25">
        <f>SUM(D11:D13)</f>
        <v/>
      </c>
      <c r="E14" s="24">
        <f>SUM(E11:E13)</f>
        <v/>
      </c>
      <c r="F14" s="25">
        <f>D14/B14</f>
        <v/>
      </c>
      <c r="G14" s="23">
        <f>SUM(G11:G13)</f>
        <v/>
      </c>
      <c r="H14" s="25">
        <f>SUM(H11:H13)</f>
        <v/>
      </c>
      <c r="I14" s="23">
        <f>SUM(I11:I13)</f>
        <v/>
      </c>
      <c r="J14" s="24">
        <f>I14/B14</f>
        <v/>
      </c>
      <c r="K14" s="25">
        <f>SUM(K11:K13)</f>
        <v/>
      </c>
      <c r="L14" s="23">
        <f>SUM(L11:L13)</f>
        <v/>
      </c>
      <c r="M14" s="24">
        <f>(I14+L14)/B14</f>
        <v/>
      </c>
    </row>
    <row r="15"/>
    <row r="16">
      <c r="A16" s="3" t="inlineStr">
        <is>
          <t>3. GEOGRAPHIC DISTRIBUTION &amp; TOP DEMAND REGIONS</t>
        </is>
      </c>
    </row>
    <row r="17">
      <c r="A17" s="26" t="inlineStr">
        <is>
          <t>Payment Category</t>
        </is>
      </c>
      <c r="B17" s="26" t="inlineStr">
        <is>
          <t>Top State #1</t>
        </is>
      </c>
      <c r="C17" s="26" t="inlineStr">
        <is>
          <t>Top State #2</t>
        </is>
      </c>
      <c r="D17" s="26" t="inlineStr">
        <is>
          <t>Top State #3</t>
        </is>
      </c>
      <c r="E17" s="26" t="inlineStr">
        <is>
          <t>Top State #4</t>
        </is>
      </c>
      <c r="F17" s="26" t="inlineStr">
        <is>
          <t>Demand Concentration</t>
        </is>
      </c>
    </row>
    <row r="18">
      <c r="A18" s="27" t="inlineStr">
        <is>
          <t>Prepaid</t>
        </is>
      </c>
      <c r="B18" s="28" t="inlineStr">
        <is>
          <t>Tamil Nadu (58 orders)</t>
        </is>
      </c>
      <c r="C18" s="28" t="inlineStr">
        <is>
          <t>Andhra Pradesh (15 orders)</t>
        </is>
      </c>
      <c r="D18" s="28" t="inlineStr">
        <is>
          <t>Telangana (13 orders)</t>
        </is>
      </c>
      <c r="E18" s="28" t="inlineStr">
        <is>
          <t>Karnataka (11 orders)</t>
        </is>
      </c>
      <c r="F18" s="28" t="inlineStr">
        <is>
          <t>High concentration in South Metro &amp; Tier-1 cities</t>
        </is>
      </c>
    </row>
    <row r="19">
      <c r="A19" s="27" t="inlineStr">
        <is>
          <t>Cash on Delivery (COD)</t>
        </is>
      </c>
      <c r="B19" s="28" t="inlineStr">
        <is>
          <t>Tamil Nadu (30 orders)</t>
        </is>
      </c>
      <c r="C19" s="28" t="inlineStr">
        <is>
          <t>Telangana (8 orders)</t>
        </is>
      </c>
      <c r="D19" s="28" t="inlineStr">
        <is>
          <t>Karnataka (6 orders)</t>
        </is>
      </c>
      <c r="E19" s="28" t="inlineStr">
        <is>
          <t>Andhra Pradesh (4 orders)</t>
        </is>
      </c>
      <c r="F19" s="28" t="inlineStr">
        <is>
          <t>Tier-2/3 pincodes in TN and TS show high RTO rates</t>
        </is>
      </c>
    </row>
    <row r="20">
      <c r="A20" s="27" t="inlineStr">
        <is>
          <t>Partial COD</t>
        </is>
      </c>
      <c r="B20" s="28" t="inlineStr">
        <is>
          <t>Telangana (4 orders)</t>
        </is>
      </c>
      <c r="C20" s="28" t="inlineStr">
        <is>
          <t>Tamil Nadu (3 orders)</t>
        </is>
      </c>
      <c r="D20" s="28" t="inlineStr">
        <is>
          <t>Maharashtra (3 orders)</t>
        </is>
      </c>
      <c r="E20" s="28" t="inlineStr">
        <is>
          <t>Kerala (1 order)</t>
        </is>
      </c>
      <c r="F20" s="28" t="inlineStr">
        <is>
          <t>Strong acceptance in urban hubs looking for intent verification</t>
        </is>
      </c>
    </row>
    <row r="21"/>
    <row r="22">
      <c r="A22" s="3" t="inlineStr">
        <is>
          <t>4. STRATEGIC RECOMMENDATIONS &amp; ACTION PLAN</t>
        </is>
      </c>
    </row>
    <row r="23">
      <c r="A23" s="9" t="inlineStr">
        <is>
          <t>Pillar / Focus Area</t>
        </is>
      </c>
      <c r="B23" s="9" t="inlineStr">
        <is>
          <t>Current Issue / Risk</t>
        </is>
      </c>
      <c r="C23" s="9" t="inlineStr">
        <is>
          <t>Proposed Action / Strategic Policy</t>
        </is>
      </c>
      <c r="D23" s="9" t="inlineStr">
        <is>
          <t>Expected Impact &amp; Result</t>
        </is>
      </c>
    </row>
    <row r="24">
      <c r="A24" s="29" t="inlineStr">
        <is>
          <t>Mandatory Partial COD</t>
        </is>
      </c>
      <c r="B24" s="28" t="inlineStr">
        <is>
          <t>Pure COD incurs 25% RTO rate and Rs. 18.5k in locked inventory</t>
        </is>
      </c>
      <c r="C24" s="28" t="inlineStr">
        <is>
          <t>Enforce Rs. 150-Rs. 200 non-refundable advance deposit for all COD checkouts</t>
        </is>
      </c>
      <c r="D24" s="28" t="inlineStr">
        <is>
          <t>Eliminates non-serious orders; reduces RTO to &lt; 2% (matching Partial COD 0% RTO)</t>
        </is>
      </c>
    </row>
    <row r="25">
      <c r="A25" s="29" t="inlineStr">
        <is>
          <t>Prepaid Discount Incentives</t>
        </is>
      </c>
      <c r="B25" s="28" t="inlineStr">
        <is>
          <t>30% of buyers select COD due to lack of immediate checkout incentive</t>
        </is>
      </c>
      <c r="C25" s="28" t="inlineStr">
        <is>
          <t>Offer 5% instant discount or free gift for UPI / Razorpay checkout</t>
        </is>
      </c>
      <c r="D25" s="28" t="inlineStr">
        <is>
          <t>Shifts ~40% of prospective COD orders to Prepaid, locking in instant cashflow</t>
        </is>
      </c>
    </row>
    <row r="26">
      <c r="A26" s="29" t="inlineStr">
        <is>
          <t>Automated NDR Verification</t>
        </is>
      </c>
      <c r="B26" s="28" t="inlineStr">
        <is>
          <t>Doorstep refusal due to buyer absence or impulse cancellation</t>
        </is>
      </c>
      <c r="C26" s="28" t="inlineStr">
        <is>
          <t>Implement automated WhatsApp order verification prior to Shiprocket manifest</t>
        </is>
      </c>
      <c r="D26" s="28" t="inlineStr">
        <is>
          <t>Prevents dispatch of unconfirmed orders; saves forward and return freight costs</t>
        </is>
      </c>
    </row>
    <row r="27">
      <c r="A27" s="29" t="inlineStr">
        <is>
          <t>Regional Fulfillment Hubs</t>
        </is>
      </c>
      <c r="B27" s="28" t="inlineStr">
        <is>
          <t>80%+ demand is concentrated in South India (TN, TS, AP, KA)</t>
        </is>
      </c>
      <c r="C27" s="28" t="inlineStr">
        <is>
          <t>Optimize courier routing via South India express hubs for &lt;48h delivery</t>
        </is>
      </c>
      <c r="D27" s="28" t="inlineStr">
        <is>
          <t>Faster transit times directly improve delivery acceptance rate and reduce buyer remorse</t>
        </is>
      </c>
    </row>
  </sheetData>
  <mergeCells count="14">
    <mergeCell ref="K7:L7"/>
    <mergeCell ref="E6:F6"/>
    <mergeCell ref="C6:D6"/>
    <mergeCell ref="C7:D7"/>
    <mergeCell ref="A7:B7"/>
    <mergeCell ref="A1:M2"/>
    <mergeCell ref="E7:F7"/>
    <mergeCell ref="G7:H7"/>
    <mergeCell ref="I6:J6"/>
    <mergeCell ref="I7:J7"/>
    <mergeCell ref="A3:M3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87" customWidth="1" min="3" max="3"/>
    <col width="83" customWidth="1" min="4" max="4"/>
    <col width="100" customWidth="1" min="5" max="5"/>
    <col width="108" customWidth="1" min="6" max="6"/>
    <col width="104" customWidth="1" min="7" max="7"/>
    <col width="115" customWidth="1" min="8" max="8"/>
    <col width="123" customWidth="1" min="9" max="9"/>
    <col width="119" customWidth="1" min="10" max="10"/>
    <col width="120" customWidth="1" min="11" max="11"/>
    <col width="128" customWidth="1" min="12" max="12"/>
    <col width="124" customWidth="1" min="13" max="13"/>
    <col width="18" customWidth="1" min="14" max="14"/>
  </cols>
  <sheetData>
    <row r="1">
      <c r="A1" s="1" t="inlineStr">
        <is>
          <t>JANVI AIKA - SIDE-BY-SIDE DAY-WISE COMPARATIVE ANALYSIS: COD vs. PARTIAL COD vs. PREPAID</t>
        </is>
      </c>
    </row>
    <row r="2"/>
    <row r="3">
      <c r="A3" s="30" t="inlineStr">
        <is>
          <t>Order Date</t>
        </is>
      </c>
      <c r="B3" s="31" t="inlineStr">
        <is>
          <t>ORDER VOLUME MIX</t>
        </is>
      </c>
      <c r="E3" s="31" t="inlineStr">
        <is>
          <t>GROSS REVENUE (Rs.)</t>
        </is>
      </c>
      <c r="H3" s="31" t="inlineStr">
        <is>
          <t>DELIVERED ORDERS</t>
        </is>
      </c>
      <c r="K3" s="31" t="inlineStr">
        <is>
          <t>RTO / RETURNED ORDERS</t>
        </is>
      </c>
      <c r="N3" s="30" t="inlineStr">
        <is>
          <t>Total Daily Rev</t>
        </is>
      </c>
    </row>
    <row r="4">
      <c r="B4" s="26" t="inlineStr">
        <is>
          <t>COD</t>
        </is>
      </c>
      <c r="C4" s="26" t="inlineStr">
        <is>
          <t>Partial COD</t>
        </is>
      </c>
      <c r="D4" s="26" t="inlineStr">
        <is>
          <t>Prepaid</t>
        </is>
      </c>
      <c r="E4" s="26" t="inlineStr">
        <is>
          <t>COD</t>
        </is>
      </c>
      <c r="F4" s="26" t="inlineStr">
        <is>
          <t>Partial COD</t>
        </is>
      </c>
      <c r="G4" s="26" t="inlineStr">
        <is>
          <t>Prepaid</t>
        </is>
      </c>
      <c r="H4" s="26" t="inlineStr">
        <is>
          <t>COD</t>
        </is>
      </c>
      <c r="I4" s="26" t="inlineStr">
        <is>
          <t>Partial COD</t>
        </is>
      </c>
      <c r="J4" s="26" t="inlineStr">
        <is>
          <t>Prepaid</t>
        </is>
      </c>
      <c r="K4" s="26" t="inlineStr">
        <is>
          <t>COD</t>
        </is>
      </c>
      <c r="L4" s="26" t="inlineStr">
        <is>
          <t>Partial COD</t>
        </is>
      </c>
      <c r="M4" s="26" t="inlineStr">
        <is>
          <t>Prepaid</t>
        </is>
      </c>
    </row>
    <row r="5">
      <c r="A5" s="32" t="inlineStr">
        <is>
          <t>2026-06-22</t>
        </is>
      </c>
      <c r="B5" s="33">
        <f>COUNTIFS(Master_Orders!D2:D174, "2026-06-22", Master_Orders!J2:J174, "COD")</f>
        <v/>
      </c>
      <c r="C5" s="33">
        <f>COUNTIFS(Master_Orders!D2:D174, "2026-06-22", Master_Orders!J2:J174, "Partial COD")</f>
        <v/>
      </c>
      <c r="D5" s="33">
        <f>COUNTIFS(Master_Orders!D2:D174, "2026-06-22", Master_Orders!J2:J174, "Prepaid")</f>
        <v/>
      </c>
      <c r="E5" s="34">
        <f>SUMIFS(Master_Orders!E2:E174, Master_Orders!D2:D174, "2026-06-22", Master_Orders!J2:J174, "COD")</f>
        <v/>
      </c>
      <c r="F5" s="34">
        <f>SUMIFS(Master_Orders!E2:E174, Master_Orders!D2:D174, "2026-06-22", Master_Orders!J2:J174, "Partial COD")</f>
        <v/>
      </c>
      <c r="G5" s="34">
        <f>SUMIFS(Master_Orders!E2:E174, Master_Orders!D2:D174, "2026-06-22", Master_Orders!J2:J174, "Prepaid")</f>
        <v/>
      </c>
      <c r="H5" s="33">
        <f>COUNTIFS(Master_Orders!D2:D174, "2026-06-22", Master_Orders!J2:J174, "COD", Master_Orders!K2:K174, "Delivered")</f>
        <v/>
      </c>
      <c r="I5" s="33">
        <f>COUNTIFS(Master_Orders!D2:D174, "2026-06-22", Master_Orders!J2:J174, "Partial COD", Master_Orders!K2:K174, "Delivered")</f>
        <v/>
      </c>
      <c r="J5" s="33">
        <f>COUNTIFS(Master_Orders!D2:D174, "2026-06-22", Master_Orders!J2:J174, "Prepaid", Master_Orders!K2:K174, "Delivered")</f>
        <v/>
      </c>
      <c r="K5" s="33">
        <f>COUNTIFS(Master_Orders!D2:D174, "2026-06-22", Master_Orders!J2:J174, "COD", Master_Orders!K2:K174, "RTO / Returned")</f>
        <v/>
      </c>
      <c r="L5" s="33">
        <f>COUNTIFS(Master_Orders!D2:D174, "2026-06-22", Master_Orders!J2:J174, "Partial COD", Master_Orders!K2:K174, "RTO / Returned")</f>
        <v/>
      </c>
      <c r="M5" s="33">
        <f>COUNTIFS(Master_Orders!D2:D174, "2026-06-22", Master_Orders!J2:J174, "Prepaid", Master_Orders!K2:K174, "RTO / Returned")</f>
        <v/>
      </c>
      <c r="N5" s="34">
        <f>E5+F5+G5</f>
        <v/>
      </c>
    </row>
    <row r="6">
      <c r="A6" s="35" t="inlineStr">
        <is>
          <t>2026-06-24</t>
        </is>
      </c>
      <c r="B6" s="36">
        <f>COUNTIFS(Master_Orders!D2:D174, "2026-06-24", Master_Orders!J2:J174, "COD")</f>
        <v/>
      </c>
      <c r="C6" s="36">
        <f>COUNTIFS(Master_Orders!D2:D174, "2026-06-24", Master_Orders!J2:J174, "Partial COD")</f>
        <v/>
      </c>
      <c r="D6" s="36">
        <f>COUNTIFS(Master_Orders!D2:D174, "2026-06-24", Master_Orders!J2:J174, "Prepaid")</f>
        <v/>
      </c>
      <c r="E6" s="37">
        <f>SUMIFS(Master_Orders!E2:E174, Master_Orders!D2:D174, "2026-06-24", Master_Orders!J2:J174, "COD")</f>
        <v/>
      </c>
      <c r="F6" s="37">
        <f>SUMIFS(Master_Orders!E2:E174, Master_Orders!D2:D174, "2026-06-24", Master_Orders!J2:J174, "Partial COD")</f>
        <v/>
      </c>
      <c r="G6" s="37">
        <f>SUMIFS(Master_Orders!E2:E174, Master_Orders!D2:D174, "2026-06-24", Master_Orders!J2:J174, "Prepaid")</f>
        <v/>
      </c>
      <c r="H6" s="36">
        <f>COUNTIFS(Master_Orders!D2:D174, "2026-06-24", Master_Orders!J2:J174, "COD", Master_Orders!K2:K174, "Delivered")</f>
        <v/>
      </c>
      <c r="I6" s="36">
        <f>COUNTIFS(Master_Orders!D2:D174, "2026-06-24", Master_Orders!J2:J174, "Partial COD", Master_Orders!K2:K174, "Delivered")</f>
        <v/>
      </c>
      <c r="J6" s="36">
        <f>COUNTIFS(Master_Orders!D2:D174, "2026-06-24", Master_Orders!J2:J174, "Prepaid", Master_Orders!K2:K174, "Delivered")</f>
        <v/>
      </c>
      <c r="K6" s="36">
        <f>COUNTIFS(Master_Orders!D2:D174, "2026-06-24", Master_Orders!J2:J174, "COD", Master_Orders!K2:K174, "RTO / Returned")</f>
        <v/>
      </c>
      <c r="L6" s="36">
        <f>COUNTIFS(Master_Orders!D2:D174, "2026-06-24", Master_Orders!J2:J174, "Partial COD", Master_Orders!K2:K174, "RTO / Returned")</f>
        <v/>
      </c>
      <c r="M6" s="36">
        <f>COUNTIFS(Master_Orders!D2:D174, "2026-06-24", Master_Orders!J2:J174, "Prepaid", Master_Orders!K2:K174, "RTO / Returned")</f>
        <v/>
      </c>
      <c r="N6" s="37">
        <f>E6+F6+G6</f>
        <v/>
      </c>
    </row>
    <row r="7">
      <c r="A7" s="32" t="inlineStr">
        <is>
          <t>2026-06-25</t>
        </is>
      </c>
      <c r="B7" s="33">
        <f>COUNTIFS(Master_Orders!D2:D174, "2026-06-25", Master_Orders!J2:J174, "COD")</f>
        <v/>
      </c>
      <c r="C7" s="33">
        <f>COUNTIFS(Master_Orders!D2:D174, "2026-06-25", Master_Orders!J2:J174, "Partial COD")</f>
        <v/>
      </c>
      <c r="D7" s="33">
        <f>COUNTIFS(Master_Orders!D2:D174, "2026-06-25", Master_Orders!J2:J174, "Prepaid")</f>
        <v/>
      </c>
      <c r="E7" s="34">
        <f>SUMIFS(Master_Orders!E2:E174, Master_Orders!D2:D174, "2026-06-25", Master_Orders!J2:J174, "COD")</f>
        <v/>
      </c>
      <c r="F7" s="34">
        <f>SUMIFS(Master_Orders!E2:E174, Master_Orders!D2:D174, "2026-06-25", Master_Orders!J2:J174, "Partial COD")</f>
        <v/>
      </c>
      <c r="G7" s="34">
        <f>SUMIFS(Master_Orders!E2:E174, Master_Orders!D2:D174, "2026-06-25", Master_Orders!J2:J174, "Prepaid")</f>
        <v/>
      </c>
      <c r="H7" s="33">
        <f>COUNTIFS(Master_Orders!D2:D174, "2026-06-25", Master_Orders!J2:J174, "COD", Master_Orders!K2:K174, "Delivered")</f>
        <v/>
      </c>
      <c r="I7" s="33">
        <f>COUNTIFS(Master_Orders!D2:D174, "2026-06-25", Master_Orders!J2:J174, "Partial COD", Master_Orders!K2:K174, "Delivered")</f>
        <v/>
      </c>
      <c r="J7" s="33">
        <f>COUNTIFS(Master_Orders!D2:D174, "2026-06-25", Master_Orders!J2:J174, "Prepaid", Master_Orders!K2:K174, "Delivered")</f>
        <v/>
      </c>
      <c r="K7" s="33">
        <f>COUNTIFS(Master_Orders!D2:D174, "2026-06-25", Master_Orders!J2:J174, "COD", Master_Orders!K2:K174, "RTO / Returned")</f>
        <v/>
      </c>
      <c r="L7" s="33">
        <f>COUNTIFS(Master_Orders!D2:D174, "2026-06-25", Master_Orders!J2:J174, "Partial COD", Master_Orders!K2:K174, "RTO / Returned")</f>
        <v/>
      </c>
      <c r="M7" s="33">
        <f>COUNTIFS(Master_Orders!D2:D174, "2026-06-25", Master_Orders!J2:J174, "Prepaid", Master_Orders!K2:K174, "RTO / Returned")</f>
        <v/>
      </c>
      <c r="N7" s="34">
        <f>E7+F7+G7</f>
        <v/>
      </c>
    </row>
    <row r="8">
      <c r="A8" s="35" t="inlineStr">
        <is>
          <t>2026-06-27</t>
        </is>
      </c>
      <c r="B8" s="36">
        <f>COUNTIFS(Master_Orders!D2:D174, "2026-06-27", Master_Orders!J2:J174, "COD")</f>
        <v/>
      </c>
      <c r="C8" s="36">
        <f>COUNTIFS(Master_Orders!D2:D174, "2026-06-27", Master_Orders!J2:J174, "Partial COD")</f>
        <v/>
      </c>
      <c r="D8" s="36">
        <f>COUNTIFS(Master_Orders!D2:D174, "2026-06-27", Master_Orders!J2:J174, "Prepaid")</f>
        <v/>
      </c>
      <c r="E8" s="37">
        <f>SUMIFS(Master_Orders!E2:E174, Master_Orders!D2:D174, "2026-06-27", Master_Orders!J2:J174, "COD")</f>
        <v/>
      </c>
      <c r="F8" s="37">
        <f>SUMIFS(Master_Orders!E2:E174, Master_Orders!D2:D174, "2026-06-27", Master_Orders!J2:J174, "Partial COD")</f>
        <v/>
      </c>
      <c r="G8" s="37">
        <f>SUMIFS(Master_Orders!E2:E174, Master_Orders!D2:D174, "2026-06-27", Master_Orders!J2:J174, "Prepaid")</f>
        <v/>
      </c>
      <c r="H8" s="36">
        <f>COUNTIFS(Master_Orders!D2:D174, "2026-06-27", Master_Orders!J2:J174, "COD", Master_Orders!K2:K174, "Delivered")</f>
        <v/>
      </c>
      <c r="I8" s="36">
        <f>COUNTIFS(Master_Orders!D2:D174, "2026-06-27", Master_Orders!J2:J174, "Partial COD", Master_Orders!K2:K174, "Delivered")</f>
        <v/>
      </c>
      <c r="J8" s="36">
        <f>COUNTIFS(Master_Orders!D2:D174, "2026-06-27", Master_Orders!J2:J174, "Prepaid", Master_Orders!K2:K174, "Delivered")</f>
        <v/>
      </c>
      <c r="K8" s="36">
        <f>COUNTIFS(Master_Orders!D2:D174, "2026-06-27", Master_Orders!J2:J174, "COD", Master_Orders!K2:K174, "RTO / Returned")</f>
        <v/>
      </c>
      <c r="L8" s="36">
        <f>COUNTIFS(Master_Orders!D2:D174, "2026-06-27", Master_Orders!J2:J174, "Partial COD", Master_Orders!K2:K174, "RTO / Returned")</f>
        <v/>
      </c>
      <c r="M8" s="36">
        <f>COUNTIFS(Master_Orders!D2:D174, "2026-06-27", Master_Orders!J2:J174, "Prepaid", Master_Orders!K2:K174, "RTO / Returned")</f>
        <v/>
      </c>
      <c r="N8" s="37">
        <f>E8+F8+G8</f>
        <v/>
      </c>
    </row>
    <row r="9">
      <c r="A9" s="32" t="inlineStr">
        <is>
          <t>2026-06-28</t>
        </is>
      </c>
      <c r="B9" s="33">
        <f>COUNTIFS(Master_Orders!D2:D174, "2026-06-28", Master_Orders!J2:J174, "COD")</f>
        <v/>
      </c>
      <c r="C9" s="33">
        <f>COUNTIFS(Master_Orders!D2:D174, "2026-06-28", Master_Orders!J2:J174, "Partial COD")</f>
        <v/>
      </c>
      <c r="D9" s="33">
        <f>COUNTIFS(Master_Orders!D2:D174, "2026-06-28", Master_Orders!J2:J174, "Prepaid")</f>
        <v/>
      </c>
      <c r="E9" s="34">
        <f>SUMIFS(Master_Orders!E2:E174, Master_Orders!D2:D174, "2026-06-28", Master_Orders!J2:J174, "COD")</f>
        <v/>
      </c>
      <c r="F9" s="34">
        <f>SUMIFS(Master_Orders!E2:E174, Master_Orders!D2:D174, "2026-06-28", Master_Orders!J2:J174, "Partial COD")</f>
        <v/>
      </c>
      <c r="G9" s="34">
        <f>SUMIFS(Master_Orders!E2:E174, Master_Orders!D2:D174, "2026-06-28", Master_Orders!J2:J174, "Prepaid")</f>
        <v/>
      </c>
      <c r="H9" s="33">
        <f>COUNTIFS(Master_Orders!D2:D174, "2026-06-28", Master_Orders!J2:J174, "COD", Master_Orders!K2:K174, "Delivered")</f>
        <v/>
      </c>
      <c r="I9" s="33">
        <f>COUNTIFS(Master_Orders!D2:D174, "2026-06-28", Master_Orders!J2:J174, "Partial COD", Master_Orders!K2:K174, "Delivered")</f>
        <v/>
      </c>
      <c r="J9" s="33">
        <f>COUNTIFS(Master_Orders!D2:D174, "2026-06-28", Master_Orders!J2:J174, "Prepaid", Master_Orders!K2:K174, "Delivered")</f>
        <v/>
      </c>
      <c r="K9" s="33">
        <f>COUNTIFS(Master_Orders!D2:D174, "2026-06-28", Master_Orders!J2:J174, "COD", Master_Orders!K2:K174, "RTO / Returned")</f>
        <v/>
      </c>
      <c r="L9" s="33">
        <f>COUNTIFS(Master_Orders!D2:D174, "2026-06-28", Master_Orders!J2:J174, "Partial COD", Master_Orders!K2:K174, "RTO / Returned")</f>
        <v/>
      </c>
      <c r="M9" s="33">
        <f>COUNTIFS(Master_Orders!D2:D174, "2026-06-28", Master_Orders!J2:J174, "Prepaid", Master_Orders!K2:K174, "RTO / Returned")</f>
        <v/>
      </c>
      <c r="N9" s="34">
        <f>E9+F9+G9</f>
        <v/>
      </c>
    </row>
    <row r="10">
      <c r="A10" s="35" t="inlineStr">
        <is>
          <t>2026-06-29</t>
        </is>
      </c>
      <c r="B10" s="36">
        <f>COUNTIFS(Master_Orders!D2:D174, "2026-06-29", Master_Orders!J2:J174, "COD")</f>
        <v/>
      </c>
      <c r="C10" s="36">
        <f>COUNTIFS(Master_Orders!D2:D174, "2026-06-29", Master_Orders!J2:J174, "Partial COD")</f>
        <v/>
      </c>
      <c r="D10" s="36">
        <f>COUNTIFS(Master_Orders!D2:D174, "2026-06-29", Master_Orders!J2:J174, "Prepaid")</f>
        <v/>
      </c>
      <c r="E10" s="37">
        <f>SUMIFS(Master_Orders!E2:E174, Master_Orders!D2:D174, "2026-06-29", Master_Orders!J2:J174, "COD")</f>
        <v/>
      </c>
      <c r="F10" s="37">
        <f>SUMIFS(Master_Orders!E2:E174, Master_Orders!D2:D174, "2026-06-29", Master_Orders!J2:J174, "Partial COD")</f>
        <v/>
      </c>
      <c r="G10" s="37">
        <f>SUMIFS(Master_Orders!E2:E174, Master_Orders!D2:D174, "2026-06-29", Master_Orders!J2:J174, "Prepaid")</f>
        <v/>
      </c>
      <c r="H10" s="36">
        <f>COUNTIFS(Master_Orders!D2:D174, "2026-06-29", Master_Orders!J2:J174, "COD", Master_Orders!K2:K174, "Delivered")</f>
        <v/>
      </c>
      <c r="I10" s="36">
        <f>COUNTIFS(Master_Orders!D2:D174, "2026-06-29", Master_Orders!J2:J174, "Partial COD", Master_Orders!K2:K174, "Delivered")</f>
        <v/>
      </c>
      <c r="J10" s="36">
        <f>COUNTIFS(Master_Orders!D2:D174, "2026-06-29", Master_Orders!J2:J174, "Prepaid", Master_Orders!K2:K174, "Delivered")</f>
        <v/>
      </c>
      <c r="K10" s="36">
        <f>COUNTIFS(Master_Orders!D2:D174, "2026-06-29", Master_Orders!J2:J174, "COD", Master_Orders!K2:K174, "RTO / Returned")</f>
        <v/>
      </c>
      <c r="L10" s="36">
        <f>COUNTIFS(Master_Orders!D2:D174, "2026-06-29", Master_Orders!J2:J174, "Partial COD", Master_Orders!K2:K174, "RTO / Returned")</f>
        <v/>
      </c>
      <c r="M10" s="36">
        <f>COUNTIFS(Master_Orders!D2:D174, "2026-06-29", Master_Orders!J2:J174, "Prepaid", Master_Orders!K2:K174, "RTO / Returned")</f>
        <v/>
      </c>
      <c r="N10" s="37">
        <f>E10+F10+G10</f>
        <v/>
      </c>
    </row>
    <row r="11">
      <c r="A11" s="32" t="inlineStr">
        <is>
          <t>2026-06-30</t>
        </is>
      </c>
      <c r="B11" s="33">
        <f>COUNTIFS(Master_Orders!D2:D174, "2026-06-30", Master_Orders!J2:J174, "COD")</f>
        <v/>
      </c>
      <c r="C11" s="33">
        <f>COUNTIFS(Master_Orders!D2:D174, "2026-06-30", Master_Orders!J2:J174, "Partial COD")</f>
        <v/>
      </c>
      <c r="D11" s="33">
        <f>COUNTIFS(Master_Orders!D2:D174, "2026-06-30", Master_Orders!J2:J174, "Prepaid")</f>
        <v/>
      </c>
      <c r="E11" s="34">
        <f>SUMIFS(Master_Orders!E2:E174, Master_Orders!D2:D174, "2026-06-30", Master_Orders!J2:J174, "COD")</f>
        <v/>
      </c>
      <c r="F11" s="34">
        <f>SUMIFS(Master_Orders!E2:E174, Master_Orders!D2:D174, "2026-06-30", Master_Orders!J2:J174, "Partial COD")</f>
        <v/>
      </c>
      <c r="G11" s="34">
        <f>SUMIFS(Master_Orders!E2:E174, Master_Orders!D2:D174, "2026-06-30", Master_Orders!J2:J174, "Prepaid")</f>
        <v/>
      </c>
      <c r="H11" s="33">
        <f>COUNTIFS(Master_Orders!D2:D174, "2026-06-30", Master_Orders!J2:J174, "COD", Master_Orders!K2:K174, "Delivered")</f>
        <v/>
      </c>
      <c r="I11" s="33">
        <f>COUNTIFS(Master_Orders!D2:D174, "2026-06-30", Master_Orders!J2:J174, "Partial COD", Master_Orders!K2:K174, "Delivered")</f>
        <v/>
      </c>
      <c r="J11" s="33">
        <f>COUNTIFS(Master_Orders!D2:D174, "2026-06-30", Master_Orders!J2:J174, "Prepaid", Master_Orders!K2:K174, "Delivered")</f>
        <v/>
      </c>
      <c r="K11" s="33">
        <f>COUNTIFS(Master_Orders!D2:D174, "2026-06-30", Master_Orders!J2:J174, "COD", Master_Orders!K2:K174, "RTO / Returned")</f>
        <v/>
      </c>
      <c r="L11" s="33">
        <f>COUNTIFS(Master_Orders!D2:D174, "2026-06-30", Master_Orders!J2:J174, "Partial COD", Master_Orders!K2:K174, "RTO / Returned")</f>
        <v/>
      </c>
      <c r="M11" s="33">
        <f>COUNTIFS(Master_Orders!D2:D174, "2026-06-30", Master_Orders!J2:J174, "Prepaid", Master_Orders!K2:K174, "RTO / Returned")</f>
        <v/>
      </c>
      <c r="N11" s="34">
        <f>E11+F11+G11</f>
        <v/>
      </c>
    </row>
    <row r="12">
      <c r="A12" s="35" t="inlineStr">
        <is>
          <t>2026-07-01</t>
        </is>
      </c>
      <c r="B12" s="36">
        <f>COUNTIFS(Master_Orders!D2:D174, "2026-07-01", Master_Orders!J2:J174, "COD")</f>
        <v/>
      </c>
      <c r="C12" s="36">
        <f>COUNTIFS(Master_Orders!D2:D174, "2026-07-01", Master_Orders!J2:J174, "Partial COD")</f>
        <v/>
      </c>
      <c r="D12" s="36">
        <f>COUNTIFS(Master_Orders!D2:D174, "2026-07-01", Master_Orders!J2:J174, "Prepaid")</f>
        <v/>
      </c>
      <c r="E12" s="37">
        <f>SUMIFS(Master_Orders!E2:E174, Master_Orders!D2:D174, "2026-07-01", Master_Orders!J2:J174, "COD")</f>
        <v/>
      </c>
      <c r="F12" s="37">
        <f>SUMIFS(Master_Orders!E2:E174, Master_Orders!D2:D174, "2026-07-01", Master_Orders!J2:J174, "Partial COD")</f>
        <v/>
      </c>
      <c r="G12" s="37">
        <f>SUMIFS(Master_Orders!E2:E174, Master_Orders!D2:D174, "2026-07-01", Master_Orders!J2:J174, "Prepaid")</f>
        <v/>
      </c>
      <c r="H12" s="36">
        <f>COUNTIFS(Master_Orders!D2:D174, "2026-07-01", Master_Orders!J2:J174, "COD", Master_Orders!K2:K174, "Delivered")</f>
        <v/>
      </c>
      <c r="I12" s="36">
        <f>COUNTIFS(Master_Orders!D2:D174, "2026-07-01", Master_Orders!J2:J174, "Partial COD", Master_Orders!K2:K174, "Delivered")</f>
        <v/>
      </c>
      <c r="J12" s="36">
        <f>COUNTIFS(Master_Orders!D2:D174, "2026-07-01", Master_Orders!J2:J174, "Prepaid", Master_Orders!K2:K174, "Delivered")</f>
        <v/>
      </c>
      <c r="K12" s="36">
        <f>COUNTIFS(Master_Orders!D2:D174, "2026-07-01", Master_Orders!J2:J174, "COD", Master_Orders!K2:K174, "RTO / Returned")</f>
        <v/>
      </c>
      <c r="L12" s="36">
        <f>COUNTIFS(Master_Orders!D2:D174, "2026-07-01", Master_Orders!J2:J174, "Partial COD", Master_Orders!K2:K174, "RTO / Returned")</f>
        <v/>
      </c>
      <c r="M12" s="36">
        <f>COUNTIFS(Master_Orders!D2:D174, "2026-07-01", Master_Orders!J2:J174, "Prepaid", Master_Orders!K2:K174, "RTO / Returned")</f>
        <v/>
      </c>
      <c r="N12" s="37">
        <f>E12+F12+G12</f>
        <v/>
      </c>
    </row>
    <row r="13">
      <c r="A13" s="32" t="inlineStr">
        <is>
          <t>2026-07-02</t>
        </is>
      </c>
      <c r="B13" s="33">
        <f>COUNTIFS(Master_Orders!D2:D174, "2026-07-02", Master_Orders!J2:J174, "COD")</f>
        <v/>
      </c>
      <c r="C13" s="33">
        <f>COUNTIFS(Master_Orders!D2:D174, "2026-07-02", Master_Orders!J2:J174, "Partial COD")</f>
        <v/>
      </c>
      <c r="D13" s="33">
        <f>COUNTIFS(Master_Orders!D2:D174, "2026-07-02", Master_Orders!J2:J174, "Prepaid")</f>
        <v/>
      </c>
      <c r="E13" s="34">
        <f>SUMIFS(Master_Orders!E2:E174, Master_Orders!D2:D174, "2026-07-02", Master_Orders!J2:J174, "COD")</f>
        <v/>
      </c>
      <c r="F13" s="34">
        <f>SUMIFS(Master_Orders!E2:E174, Master_Orders!D2:D174, "2026-07-02", Master_Orders!J2:J174, "Partial COD")</f>
        <v/>
      </c>
      <c r="G13" s="34">
        <f>SUMIFS(Master_Orders!E2:E174, Master_Orders!D2:D174, "2026-07-02", Master_Orders!J2:J174, "Prepaid")</f>
        <v/>
      </c>
      <c r="H13" s="33">
        <f>COUNTIFS(Master_Orders!D2:D174, "2026-07-02", Master_Orders!J2:J174, "COD", Master_Orders!K2:K174, "Delivered")</f>
        <v/>
      </c>
      <c r="I13" s="33">
        <f>COUNTIFS(Master_Orders!D2:D174, "2026-07-02", Master_Orders!J2:J174, "Partial COD", Master_Orders!K2:K174, "Delivered")</f>
        <v/>
      </c>
      <c r="J13" s="33">
        <f>COUNTIFS(Master_Orders!D2:D174, "2026-07-02", Master_Orders!J2:J174, "Prepaid", Master_Orders!K2:K174, "Delivered")</f>
        <v/>
      </c>
      <c r="K13" s="33">
        <f>COUNTIFS(Master_Orders!D2:D174, "2026-07-02", Master_Orders!J2:J174, "COD", Master_Orders!K2:K174, "RTO / Returned")</f>
        <v/>
      </c>
      <c r="L13" s="33">
        <f>COUNTIFS(Master_Orders!D2:D174, "2026-07-02", Master_Orders!J2:J174, "Partial COD", Master_Orders!K2:K174, "RTO / Returned")</f>
        <v/>
      </c>
      <c r="M13" s="33">
        <f>COUNTIFS(Master_Orders!D2:D174, "2026-07-02", Master_Orders!J2:J174, "Prepaid", Master_Orders!K2:K174, "RTO / Returned")</f>
        <v/>
      </c>
      <c r="N13" s="34">
        <f>E13+F13+G13</f>
        <v/>
      </c>
    </row>
    <row r="14">
      <c r="A14" s="35" t="inlineStr">
        <is>
          <t>2026-07-03</t>
        </is>
      </c>
      <c r="B14" s="36">
        <f>COUNTIFS(Master_Orders!D2:D174, "2026-07-03", Master_Orders!J2:J174, "COD")</f>
        <v/>
      </c>
      <c r="C14" s="36">
        <f>COUNTIFS(Master_Orders!D2:D174, "2026-07-03", Master_Orders!J2:J174, "Partial COD")</f>
        <v/>
      </c>
      <c r="D14" s="36">
        <f>COUNTIFS(Master_Orders!D2:D174, "2026-07-03", Master_Orders!J2:J174, "Prepaid")</f>
        <v/>
      </c>
      <c r="E14" s="37">
        <f>SUMIFS(Master_Orders!E2:E174, Master_Orders!D2:D174, "2026-07-03", Master_Orders!J2:J174, "COD")</f>
        <v/>
      </c>
      <c r="F14" s="37">
        <f>SUMIFS(Master_Orders!E2:E174, Master_Orders!D2:D174, "2026-07-03", Master_Orders!J2:J174, "Partial COD")</f>
        <v/>
      </c>
      <c r="G14" s="37">
        <f>SUMIFS(Master_Orders!E2:E174, Master_Orders!D2:D174, "2026-07-03", Master_Orders!J2:J174, "Prepaid")</f>
        <v/>
      </c>
      <c r="H14" s="36">
        <f>COUNTIFS(Master_Orders!D2:D174, "2026-07-03", Master_Orders!J2:J174, "COD", Master_Orders!K2:K174, "Delivered")</f>
        <v/>
      </c>
      <c r="I14" s="36">
        <f>COUNTIFS(Master_Orders!D2:D174, "2026-07-03", Master_Orders!J2:J174, "Partial COD", Master_Orders!K2:K174, "Delivered")</f>
        <v/>
      </c>
      <c r="J14" s="36">
        <f>COUNTIFS(Master_Orders!D2:D174, "2026-07-03", Master_Orders!J2:J174, "Prepaid", Master_Orders!K2:K174, "Delivered")</f>
        <v/>
      </c>
      <c r="K14" s="36">
        <f>COUNTIFS(Master_Orders!D2:D174, "2026-07-03", Master_Orders!J2:J174, "COD", Master_Orders!K2:K174, "RTO / Returned")</f>
        <v/>
      </c>
      <c r="L14" s="36">
        <f>COUNTIFS(Master_Orders!D2:D174, "2026-07-03", Master_Orders!J2:J174, "Partial COD", Master_Orders!K2:K174, "RTO / Returned")</f>
        <v/>
      </c>
      <c r="M14" s="36">
        <f>COUNTIFS(Master_Orders!D2:D174, "2026-07-03", Master_Orders!J2:J174, "Prepaid", Master_Orders!K2:K174, "RTO / Returned")</f>
        <v/>
      </c>
      <c r="N14" s="37">
        <f>E14+F14+G14</f>
        <v/>
      </c>
    </row>
    <row r="15">
      <c r="A15" s="32" t="inlineStr">
        <is>
          <t>2026-07-04</t>
        </is>
      </c>
      <c r="B15" s="33">
        <f>COUNTIFS(Master_Orders!D2:D174, "2026-07-04", Master_Orders!J2:J174, "COD")</f>
        <v/>
      </c>
      <c r="C15" s="33">
        <f>COUNTIFS(Master_Orders!D2:D174, "2026-07-04", Master_Orders!J2:J174, "Partial COD")</f>
        <v/>
      </c>
      <c r="D15" s="33">
        <f>COUNTIFS(Master_Orders!D2:D174, "2026-07-04", Master_Orders!J2:J174, "Prepaid")</f>
        <v/>
      </c>
      <c r="E15" s="34">
        <f>SUMIFS(Master_Orders!E2:E174, Master_Orders!D2:D174, "2026-07-04", Master_Orders!J2:J174, "COD")</f>
        <v/>
      </c>
      <c r="F15" s="34">
        <f>SUMIFS(Master_Orders!E2:E174, Master_Orders!D2:D174, "2026-07-04", Master_Orders!J2:J174, "Partial COD")</f>
        <v/>
      </c>
      <c r="G15" s="34">
        <f>SUMIFS(Master_Orders!E2:E174, Master_Orders!D2:D174, "2026-07-04", Master_Orders!J2:J174, "Prepaid")</f>
        <v/>
      </c>
      <c r="H15" s="33">
        <f>COUNTIFS(Master_Orders!D2:D174, "2026-07-04", Master_Orders!J2:J174, "COD", Master_Orders!K2:K174, "Delivered")</f>
        <v/>
      </c>
      <c r="I15" s="33">
        <f>COUNTIFS(Master_Orders!D2:D174, "2026-07-04", Master_Orders!J2:J174, "Partial COD", Master_Orders!K2:K174, "Delivered")</f>
        <v/>
      </c>
      <c r="J15" s="33">
        <f>COUNTIFS(Master_Orders!D2:D174, "2026-07-04", Master_Orders!J2:J174, "Prepaid", Master_Orders!K2:K174, "Delivered")</f>
        <v/>
      </c>
      <c r="K15" s="33">
        <f>COUNTIFS(Master_Orders!D2:D174, "2026-07-04", Master_Orders!J2:J174, "COD", Master_Orders!K2:K174, "RTO / Returned")</f>
        <v/>
      </c>
      <c r="L15" s="33">
        <f>COUNTIFS(Master_Orders!D2:D174, "2026-07-04", Master_Orders!J2:J174, "Partial COD", Master_Orders!K2:K174, "RTO / Returned")</f>
        <v/>
      </c>
      <c r="M15" s="33">
        <f>COUNTIFS(Master_Orders!D2:D174, "2026-07-04", Master_Orders!J2:J174, "Prepaid", Master_Orders!K2:K174, "RTO / Returned")</f>
        <v/>
      </c>
      <c r="N15" s="34">
        <f>E15+F15+G15</f>
        <v/>
      </c>
    </row>
    <row r="16">
      <c r="A16" s="35" t="inlineStr">
        <is>
          <t>2026-07-05</t>
        </is>
      </c>
      <c r="B16" s="36">
        <f>COUNTIFS(Master_Orders!D2:D174, "2026-07-05", Master_Orders!J2:J174, "COD")</f>
        <v/>
      </c>
      <c r="C16" s="36">
        <f>COUNTIFS(Master_Orders!D2:D174, "2026-07-05", Master_Orders!J2:J174, "Partial COD")</f>
        <v/>
      </c>
      <c r="D16" s="36">
        <f>COUNTIFS(Master_Orders!D2:D174, "2026-07-05", Master_Orders!J2:J174, "Prepaid")</f>
        <v/>
      </c>
      <c r="E16" s="37">
        <f>SUMIFS(Master_Orders!E2:E174, Master_Orders!D2:D174, "2026-07-05", Master_Orders!J2:J174, "COD")</f>
        <v/>
      </c>
      <c r="F16" s="37">
        <f>SUMIFS(Master_Orders!E2:E174, Master_Orders!D2:D174, "2026-07-05", Master_Orders!J2:J174, "Partial COD")</f>
        <v/>
      </c>
      <c r="G16" s="37">
        <f>SUMIFS(Master_Orders!E2:E174, Master_Orders!D2:D174, "2026-07-05", Master_Orders!J2:J174, "Prepaid")</f>
        <v/>
      </c>
      <c r="H16" s="36">
        <f>COUNTIFS(Master_Orders!D2:D174, "2026-07-05", Master_Orders!J2:J174, "COD", Master_Orders!K2:K174, "Delivered")</f>
        <v/>
      </c>
      <c r="I16" s="36">
        <f>COUNTIFS(Master_Orders!D2:D174, "2026-07-05", Master_Orders!J2:J174, "Partial COD", Master_Orders!K2:K174, "Delivered")</f>
        <v/>
      </c>
      <c r="J16" s="36">
        <f>COUNTIFS(Master_Orders!D2:D174, "2026-07-05", Master_Orders!J2:J174, "Prepaid", Master_Orders!K2:K174, "Delivered")</f>
        <v/>
      </c>
      <c r="K16" s="36">
        <f>COUNTIFS(Master_Orders!D2:D174, "2026-07-05", Master_Orders!J2:J174, "COD", Master_Orders!K2:K174, "RTO / Returned")</f>
        <v/>
      </c>
      <c r="L16" s="36">
        <f>COUNTIFS(Master_Orders!D2:D174, "2026-07-05", Master_Orders!J2:J174, "Partial COD", Master_Orders!K2:K174, "RTO / Returned")</f>
        <v/>
      </c>
      <c r="M16" s="36">
        <f>COUNTIFS(Master_Orders!D2:D174, "2026-07-05", Master_Orders!J2:J174, "Prepaid", Master_Orders!K2:K174, "RTO / Returned")</f>
        <v/>
      </c>
      <c r="N16" s="37">
        <f>E16+F16+G16</f>
        <v/>
      </c>
    </row>
    <row r="17">
      <c r="A17" s="32" t="inlineStr">
        <is>
          <t>2026-07-06</t>
        </is>
      </c>
      <c r="B17" s="33">
        <f>COUNTIFS(Master_Orders!D2:D174, "2026-07-06", Master_Orders!J2:J174, "COD")</f>
        <v/>
      </c>
      <c r="C17" s="33">
        <f>COUNTIFS(Master_Orders!D2:D174, "2026-07-06", Master_Orders!J2:J174, "Partial COD")</f>
        <v/>
      </c>
      <c r="D17" s="33">
        <f>COUNTIFS(Master_Orders!D2:D174, "2026-07-06", Master_Orders!J2:J174, "Prepaid")</f>
        <v/>
      </c>
      <c r="E17" s="34">
        <f>SUMIFS(Master_Orders!E2:E174, Master_Orders!D2:D174, "2026-07-06", Master_Orders!J2:J174, "COD")</f>
        <v/>
      </c>
      <c r="F17" s="34">
        <f>SUMIFS(Master_Orders!E2:E174, Master_Orders!D2:D174, "2026-07-06", Master_Orders!J2:J174, "Partial COD")</f>
        <v/>
      </c>
      <c r="G17" s="34">
        <f>SUMIFS(Master_Orders!E2:E174, Master_Orders!D2:D174, "2026-07-06", Master_Orders!J2:J174, "Prepaid")</f>
        <v/>
      </c>
      <c r="H17" s="33">
        <f>COUNTIFS(Master_Orders!D2:D174, "2026-07-06", Master_Orders!J2:J174, "COD", Master_Orders!K2:K174, "Delivered")</f>
        <v/>
      </c>
      <c r="I17" s="33">
        <f>COUNTIFS(Master_Orders!D2:D174, "2026-07-06", Master_Orders!J2:J174, "Partial COD", Master_Orders!K2:K174, "Delivered")</f>
        <v/>
      </c>
      <c r="J17" s="33">
        <f>COUNTIFS(Master_Orders!D2:D174, "2026-07-06", Master_Orders!J2:J174, "Prepaid", Master_Orders!K2:K174, "Delivered")</f>
        <v/>
      </c>
      <c r="K17" s="33">
        <f>COUNTIFS(Master_Orders!D2:D174, "2026-07-06", Master_Orders!J2:J174, "COD", Master_Orders!K2:K174, "RTO / Returned")</f>
        <v/>
      </c>
      <c r="L17" s="33">
        <f>COUNTIFS(Master_Orders!D2:D174, "2026-07-06", Master_Orders!J2:J174, "Partial COD", Master_Orders!K2:K174, "RTO / Returned")</f>
        <v/>
      </c>
      <c r="M17" s="33">
        <f>COUNTIFS(Master_Orders!D2:D174, "2026-07-06", Master_Orders!J2:J174, "Prepaid", Master_Orders!K2:K174, "RTO / Returned")</f>
        <v/>
      </c>
      <c r="N17" s="34">
        <f>E17+F17+G17</f>
        <v/>
      </c>
    </row>
    <row r="18">
      <c r="A18" s="35" t="inlineStr">
        <is>
          <t>2026-07-07</t>
        </is>
      </c>
      <c r="B18" s="36">
        <f>COUNTIFS(Master_Orders!D2:D174, "2026-07-07", Master_Orders!J2:J174, "COD")</f>
        <v/>
      </c>
      <c r="C18" s="36">
        <f>COUNTIFS(Master_Orders!D2:D174, "2026-07-07", Master_Orders!J2:J174, "Partial COD")</f>
        <v/>
      </c>
      <c r="D18" s="36">
        <f>COUNTIFS(Master_Orders!D2:D174, "2026-07-07", Master_Orders!J2:J174, "Prepaid")</f>
        <v/>
      </c>
      <c r="E18" s="37">
        <f>SUMIFS(Master_Orders!E2:E174, Master_Orders!D2:D174, "2026-07-07", Master_Orders!J2:J174, "COD")</f>
        <v/>
      </c>
      <c r="F18" s="37">
        <f>SUMIFS(Master_Orders!E2:E174, Master_Orders!D2:D174, "2026-07-07", Master_Orders!J2:J174, "Partial COD")</f>
        <v/>
      </c>
      <c r="G18" s="37">
        <f>SUMIFS(Master_Orders!E2:E174, Master_Orders!D2:D174, "2026-07-07", Master_Orders!J2:J174, "Prepaid")</f>
        <v/>
      </c>
      <c r="H18" s="36">
        <f>COUNTIFS(Master_Orders!D2:D174, "2026-07-07", Master_Orders!J2:J174, "COD", Master_Orders!K2:K174, "Delivered")</f>
        <v/>
      </c>
      <c r="I18" s="36">
        <f>COUNTIFS(Master_Orders!D2:D174, "2026-07-07", Master_Orders!J2:J174, "Partial COD", Master_Orders!K2:K174, "Delivered")</f>
        <v/>
      </c>
      <c r="J18" s="36">
        <f>COUNTIFS(Master_Orders!D2:D174, "2026-07-07", Master_Orders!J2:J174, "Prepaid", Master_Orders!K2:K174, "Delivered")</f>
        <v/>
      </c>
      <c r="K18" s="36">
        <f>COUNTIFS(Master_Orders!D2:D174, "2026-07-07", Master_Orders!J2:J174, "COD", Master_Orders!K2:K174, "RTO / Returned")</f>
        <v/>
      </c>
      <c r="L18" s="36">
        <f>COUNTIFS(Master_Orders!D2:D174, "2026-07-07", Master_Orders!J2:J174, "Partial COD", Master_Orders!K2:K174, "RTO / Returned")</f>
        <v/>
      </c>
      <c r="M18" s="36">
        <f>COUNTIFS(Master_Orders!D2:D174, "2026-07-07", Master_Orders!J2:J174, "Prepaid", Master_Orders!K2:K174, "RTO / Returned")</f>
        <v/>
      </c>
      <c r="N18" s="37">
        <f>E18+F18+G18</f>
        <v/>
      </c>
    </row>
    <row r="19">
      <c r="A19" s="32" t="inlineStr">
        <is>
          <t>2026-07-08</t>
        </is>
      </c>
      <c r="B19" s="33">
        <f>COUNTIFS(Master_Orders!D2:D174, "2026-07-08", Master_Orders!J2:J174, "COD")</f>
        <v/>
      </c>
      <c r="C19" s="33">
        <f>COUNTIFS(Master_Orders!D2:D174, "2026-07-08", Master_Orders!J2:J174, "Partial COD")</f>
        <v/>
      </c>
      <c r="D19" s="33">
        <f>COUNTIFS(Master_Orders!D2:D174, "2026-07-08", Master_Orders!J2:J174, "Prepaid")</f>
        <v/>
      </c>
      <c r="E19" s="34">
        <f>SUMIFS(Master_Orders!E2:E174, Master_Orders!D2:D174, "2026-07-08", Master_Orders!J2:J174, "COD")</f>
        <v/>
      </c>
      <c r="F19" s="34">
        <f>SUMIFS(Master_Orders!E2:E174, Master_Orders!D2:D174, "2026-07-08", Master_Orders!J2:J174, "Partial COD")</f>
        <v/>
      </c>
      <c r="G19" s="34">
        <f>SUMIFS(Master_Orders!E2:E174, Master_Orders!D2:D174, "2026-07-08", Master_Orders!J2:J174, "Prepaid")</f>
        <v/>
      </c>
      <c r="H19" s="33">
        <f>COUNTIFS(Master_Orders!D2:D174, "2026-07-08", Master_Orders!J2:J174, "COD", Master_Orders!K2:K174, "Delivered")</f>
        <v/>
      </c>
      <c r="I19" s="33">
        <f>COUNTIFS(Master_Orders!D2:D174, "2026-07-08", Master_Orders!J2:J174, "Partial COD", Master_Orders!K2:K174, "Delivered")</f>
        <v/>
      </c>
      <c r="J19" s="33">
        <f>COUNTIFS(Master_Orders!D2:D174, "2026-07-08", Master_Orders!J2:J174, "Prepaid", Master_Orders!K2:K174, "Delivered")</f>
        <v/>
      </c>
      <c r="K19" s="33">
        <f>COUNTIFS(Master_Orders!D2:D174, "2026-07-08", Master_Orders!J2:J174, "COD", Master_Orders!K2:K174, "RTO / Returned")</f>
        <v/>
      </c>
      <c r="L19" s="33">
        <f>COUNTIFS(Master_Orders!D2:D174, "2026-07-08", Master_Orders!J2:J174, "Partial COD", Master_Orders!K2:K174, "RTO / Returned")</f>
        <v/>
      </c>
      <c r="M19" s="33">
        <f>COUNTIFS(Master_Orders!D2:D174, "2026-07-08", Master_Orders!J2:J174, "Prepaid", Master_Orders!K2:K174, "RTO / Returned")</f>
        <v/>
      </c>
      <c r="N19" s="34">
        <f>E19+F19+G19</f>
        <v/>
      </c>
    </row>
    <row r="20">
      <c r="A20" s="35" t="inlineStr">
        <is>
          <t>2026-07-09</t>
        </is>
      </c>
      <c r="B20" s="36">
        <f>COUNTIFS(Master_Orders!D2:D174, "2026-07-09", Master_Orders!J2:J174, "COD")</f>
        <v/>
      </c>
      <c r="C20" s="36">
        <f>COUNTIFS(Master_Orders!D2:D174, "2026-07-09", Master_Orders!J2:J174, "Partial COD")</f>
        <v/>
      </c>
      <c r="D20" s="36">
        <f>COUNTIFS(Master_Orders!D2:D174, "2026-07-09", Master_Orders!J2:J174, "Prepaid")</f>
        <v/>
      </c>
      <c r="E20" s="37">
        <f>SUMIFS(Master_Orders!E2:E174, Master_Orders!D2:D174, "2026-07-09", Master_Orders!J2:J174, "COD")</f>
        <v/>
      </c>
      <c r="F20" s="37">
        <f>SUMIFS(Master_Orders!E2:E174, Master_Orders!D2:D174, "2026-07-09", Master_Orders!J2:J174, "Partial COD")</f>
        <v/>
      </c>
      <c r="G20" s="37">
        <f>SUMIFS(Master_Orders!E2:E174, Master_Orders!D2:D174, "2026-07-09", Master_Orders!J2:J174, "Prepaid")</f>
        <v/>
      </c>
      <c r="H20" s="36">
        <f>COUNTIFS(Master_Orders!D2:D174, "2026-07-09", Master_Orders!J2:J174, "COD", Master_Orders!K2:K174, "Delivered")</f>
        <v/>
      </c>
      <c r="I20" s="36">
        <f>COUNTIFS(Master_Orders!D2:D174, "2026-07-09", Master_Orders!J2:J174, "Partial COD", Master_Orders!K2:K174, "Delivered")</f>
        <v/>
      </c>
      <c r="J20" s="36">
        <f>COUNTIFS(Master_Orders!D2:D174, "2026-07-09", Master_Orders!J2:J174, "Prepaid", Master_Orders!K2:K174, "Delivered")</f>
        <v/>
      </c>
      <c r="K20" s="36">
        <f>COUNTIFS(Master_Orders!D2:D174, "2026-07-09", Master_Orders!J2:J174, "COD", Master_Orders!K2:K174, "RTO / Returned")</f>
        <v/>
      </c>
      <c r="L20" s="36">
        <f>COUNTIFS(Master_Orders!D2:D174, "2026-07-09", Master_Orders!J2:J174, "Partial COD", Master_Orders!K2:K174, "RTO / Returned")</f>
        <v/>
      </c>
      <c r="M20" s="36">
        <f>COUNTIFS(Master_Orders!D2:D174, "2026-07-09", Master_Orders!J2:J174, "Prepaid", Master_Orders!K2:K174, "RTO / Returned")</f>
        <v/>
      </c>
      <c r="N20" s="37">
        <f>E20+F20+G20</f>
        <v/>
      </c>
    </row>
    <row r="21">
      <c r="A21" s="32" t="inlineStr">
        <is>
          <t>2026-07-10</t>
        </is>
      </c>
      <c r="B21" s="33">
        <f>COUNTIFS(Master_Orders!D2:D174, "2026-07-10", Master_Orders!J2:J174, "COD")</f>
        <v/>
      </c>
      <c r="C21" s="33">
        <f>COUNTIFS(Master_Orders!D2:D174, "2026-07-10", Master_Orders!J2:J174, "Partial COD")</f>
        <v/>
      </c>
      <c r="D21" s="33">
        <f>COUNTIFS(Master_Orders!D2:D174, "2026-07-10", Master_Orders!J2:J174, "Prepaid")</f>
        <v/>
      </c>
      <c r="E21" s="34">
        <f>SUMIFS(Master_Orders!E2:E174, Master_Orders!D2:D174, "2026-07-10", Master_Orders!J2:J174, "COD")</f>
        <v/>
      </c>
      <c r="F21" s="34">
        <f>SUMIFS(Master_Orders!E2:E174, Master_Orders!D2:D174, "2026-07-10", Master_Orders!J2:J174, "Partial COD")</f>
        <v/>
      </c>
      <c r="G21" s="34">
        <f>SUMIFS(Master_Orders!E2:E174, Master_Orders!D2:D174, "2026-07-10", Master_Orders!J2:J174, "Prepaid")</f>
        <v/>
      </c>
      <c r="H21" s="33">
        <f>COUNTIFS(Master_Orders!D2:D174, "2026-07-10", Master_Orders!J2:J174, "COD", Master_Orders!K2:K174, "Delivered")</f>
        <v/>
      </c>
      <c r="I21" s="33">
        <f>COUNTIFS(Master_Orders!D2:D174, "2026-07-10", Master_Orders!J2:J174, "Partial COD", Master_Orders!K2:K174, "Delivered")</f>
        <v/>
      </c>
      <c r="J21" s="33">
        <f>COUNTIFS(Master_Orders!D2:D174, "2026-07-10", Master_Orders!J2:J174, "Prepaid", Master_Orders!K2:K174, "Delivered")</f>
        <v/>
      </c>
      <c r="K21" s="33">
        <f>COUNTIFS(Master_Orders!D2:D174, "2026-07-10", Master_Orders!J2:J174, "COD", Master_Orders!K2:K174, "RTO / Returned")</f>
        <v/>
      </c>
      <c r="L21" s="33">
        <f>COUNTIFS(Master_Orders!D2:D174, "2026-07-10", Master_Orders!J2:J174, "Partial COD", Master_Orders!K2:K174, "RTO / Returned")</f>
        <v/>
      </c>
      <c r="M21" s="33">
        <f>COUNTIFS(Master_Orders!D2:D174, "2026-07-10", Master_Orders!J2:J174, "Prepaid", Master_Orders!K2:K174, "RTO / Returned")</f>
        <v/>
      </c>
      <c r="N21" s="34">
        <f>E21+F21+G21</f>
        <v/>
      </c>
    </row>
    <row r="22">
      <c r="A22" s="35" t="inlineStr">
        <is>
          <t>2026-07-11</t>
        </is>
      </c>
      <c r="B22" s="36">
        <f>COUNTIFS(Master_Orders!D2:D174, "2026-07-11", Master_Orders!J2:J174, "COD")</f>
        <v/>
      </c>
      <c r="C22" s="36">
        <f>COUNTIFS(Master_Orders!D2:D174, "2026-07-11", Master_Orders!J2:J174, "Partial COD")</f>
        <v/>
      </c>
      <c r="D22" s="36">
        <f>COUNTIFS(Master_Orders!D2:D174, "2026-07-11", Master_Orders!J2:J174, "Prepaid")</f>
        <v/>
      </c>
      <c r="E22" s="37">
        <f>SUMIFS(Master_Orders!E2:E174, Master_Orders!D2:D174, "2026-07-11", Master_Orders!J2:J174, "COD")</f>
        <v/>
      </c>
      <c r="F22" s="37">
        <f>SUMIFS(Master_Orders!E2:E174, Master_Orders!D2:D174, "2026-07-11", Master_Orders!J2:J174, "Partial COD")</f>
        <v/>
      </c>
      <c r="G22" s="37">
        <f>SUMIFS(Master_Orders!E2:E174, Master_Orders!D2:D174, "2026-07-11", Master_Orders!J2:J174, "Prepaid")</f>
        <v/>
      </c>
      <c r="H22" s="36">
        <f>COUNTIFS(Master_Orders!D2:D174, "2026-07-11", Master_Orders!J2:J174, "COD", Master_Orders!K2:K174, "Delivered")</f>
        <v/>
      </c>
      <c r="I22" s="36">
        <f>COUNTIFS(Master_Orders!D2:D174, "2026-07-11", Master_Orders!J2:J174, "Partial COD", Master_Orders!K2:K174, "Delivered")</f>
        <v/>
      </c>
      <c r="J22" s="36">
        <f>COUNTIFS(Master_Orders!D2:D174, "2026-07-11", Master_Orders!J2:J174, "Prepaid", Master_Orders!K2:K174, "Delivered")</f>
        <v/>
      </c>
      <c r="K22" s="36">
        <f>COUNTIFS(Master_Orders!D2:D174, "2026-07-11", Master_Orders!J2:J174, "COD", Master_Orders!K2:K174, "RTO / Returned")</f>
        <v/>
      </c>
      <c r="L22" s="36">
        <f>COUNTIFS(Master_Orders!D2:D174, "2026-07-11", Master_Orders!J2:J174, "Partial COD", Master_Orders!K2:K174, "RTO / Returned")</f>
        <v/>
      </c>
      <c r="M22" s="36">
        <f>COUNTIFS(Master_Orders!D2:D174, "2026-07-11", Master_Orders!J2:J174, "Prepaid", Master_Orders!K2:K174, "RTO / Returned")</f>
        <v/>
      </c>
      <c r="N22" s="37">
        <f>E22+F22+G22</f>
        <v/>
      </c>
    </row>
    <row r="23">
      <c r="A23" s="32" t="inlineStr">
        <is>
          <t>2026-07-12</t>
        </is>
      </c>
      <c r="B23" s="33">
        <f>COUNTIFS(Master_Orders!D2:D174, "2026-07-12", Master_Orders!J2:J174, "COD")</f>
        <v/>
      </c>
      <c r="C23" s="33">
        <f>COUNTIFS(Master_Orders!D2:D174, "2026-07-12", Master_Orders!J2:J174, "Partial COD")</f>
        <v/>
      </c>
      <c r="D23" s="33">
        <f>COUNTIFS(Master_Orders!D2:D174, "2026-07-12", Master_Orders!J2:J174, "Prepaid")</f>
        <v/>
      </c>
      <c r="E23" s="34">
        <f>SUMIFS(Master_Orders!E2:E174, Master_Orders!D2:D174, "2026-07-12", Master_Orders!J2:J174, "COD")</f>
        <v/>
      </c>
      <c r="F23" s="34">
        <f>SUMIFS(Master_Orders!E2:E174, Master_Orders!D2:D174, "2026-07-12", Master_Orders!J2:J174, "Partial COD")</f>
        <v/>
      </c>
      <c r="G23" s="34">
        <f>SUMIFS(Master_Orders!E2:E174, Master_Orders!D2:D174, "2026-07-12", Master_Orders!J2:J174, "Prepaid")</f>
        <v/>
      </c>
      <c r="H23" s="33">
        <f>COUNTIFS(Master_Orders!D2:D174, "2026-07-12", Master_Orders!J2:J174, "COD", Master_Orders!K2:K174, "Delivered")</f>
        <v/>
      </c>
      <c r="I23" s="33">
        <f>COUNTIFS(Master_Orders!D2:D174, "2026-07-12", Master_Orders!J2:J174, "Partial COD", Master_Orders!K2:K174, "Delivered")</f>
        <v/>
      </c>
      <c r="J23" s="33">
        <f>COUNTIFS(Master_Orders!D2:D174, "2026-07-12", Master_Orders!J2:J174, "Prepaid", Master_Orders!K2:K174, "Delivered")</f>
        <v/>
      </c>
      <c r="K23" s="33">
        <f>COUNTIFS(Master_Orders!D2:D174, "2026-07-12", Master_Orders!J2:J174, "COD", Master_Orders!K2:K174, "RTO / Returned")</f>
        <v/>
      </c>
      <c r="L23" s="33">
        <f>COUNTIFS(Master_Orders!D2:D174, "2026-07-12", Master_Orders!J2:J174, "Partial COD", Master_Orders!K2:K174, "RTO / Returned")</f>
        <v/>
      </c>
      <c r="M23" s="33">
        <f>COUNTIFS(Master_Orders!D2:D174, "2026-07-12", Master_Orders!J2:J174, "Prepaid", Master_Orders!K2:K174, "RTO / Returned")</f>
        <v/>
      </c>
      <c r="N23" s="34">
        <f>E23+F23+G23</f>
        <v/>
      </c>
    </row>
    <row r="24">
      <c r="A24" s="35" t="inlineStr">
        <is>
          <t>2026-07-13</t>
        </is>
      </c>
      <c r="B24" s="36">
        <f>COUNTIFS(Master_Orders!D2:D174, "2026-07-13", Master_Orders!J2:J174, "COD")</f>
        <v/>
      </c>
      <c r="C24" s="36">
        <f>COUNTIFS(Master_Orders!D2:D174, "2026-07-13", Master_Orders!J2:J174, "Partial COD")</f>
        <v/>
      </c>
      <c r="D24" s="36">
        <f>COUNTIFS(Master_Orders!D2:D174, "2026-07-13", Master_Orders!J2:J174, "Prepaid")</f>
        <v/>
      </c>
      <c r="E24" s="37">
        <f>SUMIFS(Master_Orders!E2:E174, Master_Orders!D2:D174, "2026-07-13", Master_Orders!J2:J174, "COD")</f>
        <v/>
      </c>
      <c r="F24" s="37">
        <f>SUMIFS(Master_Orders!E2:E174, Master_Orders!D2:D174, "2026-07-13", Master_Orders!J2:J174, "Partial COD")</f>
        <v/>
      </c>
      <c r="G24" s="37">
        <f>SUMIFS(Master_Orders!E2:E174, Master_Orders!D2:D174, "2026-07-13", Master_Orders!J2:J174, "Prepaid")</f>
        <v/>
      </c>
      <c r="H24" s="36">
        <f>COUNTIFS(Master_Orders!D2:D174, "2026-07-13", Master_Orders!J2:J174, "COD", Master_Orders!K2:K174, "Delivered")</f>
        <v/>
      </c>
      <c r="I24" s="36">
        <f>COUNTIFS(Master_Orders!D2:D174, "2026-07-13", Master_Orders!J2:J174, "Partial COD", Master_Orders!K2:K174, "Delivered")</f>
        <v/>
      </c>
      <c r="J24" s="36">
        <f>COUNTIFS(Master_Orders!D2:D174, "2026-07-13", Master_Orders!J2:J174, "Prepaid", Master_Orders!K2:K174, "Delivered")</f>
        <v/>
      </c>
      <c r="K24" s="36">
        <f>COUNTIFS(Master_Orders!D2:D174, "2026-07-13", Master_Orders!J2:J174, "COD", Master_Orders!K2:K174, "RTO / Returned")</f>
        <v/>
      </c>
      <c r="L24" s="36">
        <f>COUNTIFS(Master_Orders!D2:D174, "2026-07-13", Master_Orders!J2:J174, "Partial COD", Master_Orders!K2:K174, "RTO / Returned")</f>
        <v/>
      </c>
      <c r="M24" s="36">
        <f>COUNTIFS(Master_Orders!D2:D174, "2026-07-13", Master_Orders!J2:J174, "Prepaid", Master_Orders!K2:K174, "RTO / Returned")</f>
        <v/>
      </c>
      <c r="N24" s="37">
        <f>E24+F24+G24</f>
        <v/>
      </c>
    </row>
    <row r="25">
      <c r="A25" s="32" t="inlineStr">
        <is>
          <t>2026-07-14</t>
        </is>
      </c>
      <c r="B25" s="33">
        <f>COUNTIFS(Master_Orders!D2:D174, "2026-07-14", Master_Orders!J2:J174, "COD")</f>
        <v/>
      </c>
      <c r="C25" s="33">
        <f>COUNTIFS(Master_Orders!D2:D174, "2026-07-14", Master_Orders!J2:J174, "Partial COD")</f>
        <v/>
      </c>
      <c r="D25" s="33">
        <f>COUNTIFS(Master_Orders!D2:D174, "2026-07-14", Master_Orders!J2:J174, "Prepaid")</f>
        <v/>
      </c>
      <c r="E25" s="34">
        <f>SUMIFS(Master_Orders!E2:E174, Master_Orders!D2:D174, "2026-07-14", Master_Orders!J2:J174, "COD")</f>
        <v/>
      </c>
      <c r="F25" s="34">
        <f>SUMIFS(Master_Orders!E2:E174, Master_Orders!D2:D174, "2026-07-14", Master_Orders!J2:J174, "Partial COD")</f>
        <v/>
      </c>
      <c r="G25" s="34">
        <f>SUMIFS(Master_Orders!E2:E174, Master_Orders!D2:D174, "2026-07-14", Master_Orders!J2:J174, "Prepaid")</f>
        <v/>
      </c>
      <c r="H25" s="33">
        <f>COUNTIFS(Master_Orders!D2:D174, "2026-07-14", Master_Orders!J2:J174, "COD", Master_Orders!K2:K174, "Delivered")</f>
        <v/>
      </c>
      <c r="I25" s="33">
        <f>COUNTIFS(Master_Orders!D2:D174, "2026-07-14", Master_Orders!J2:J174, "Partial COD", Master_Orders!K2:K174, "Delivered")</f>
        <v/>
      </c>
      <c r="J25" s="33">
        <f>COUNTIFS(Master_Orders!D2:D174, "2026-07-14", Master_Orders!J2:J174, "Prepaid", Master_Orders!K2:K174, "Delivered")</f>
        <v/>
      </c>
      <c r="K25" s="33">
        <f>COUNTIFS(Master_Orders!D2:D174, "2026-07-14", Master_Orders!J2:J174, "COD", Master_Orders!K2:K174, "RTO / Returned")</f>
        <v/>
      </c>
      <c r="L25" s="33">
        <f>COUNTIFS(Master_Orders!D2:D174, "2026-07-14", Master_Orders!J2:J174, "Partial COD", Master_Orders!K2:K174, "RTO / Returned")</f>
        <v/>
      </c>
      <c r="M25" s="33">
        <f>COUNTIFS(Master_Orders!D2:D174, "2026-07-14", Master_Orders!J2:J174, "Prepaid", Master_Orders!K2:K174, "RTO / Returned")</f>
        <v/>
      </c>
      <c r="N25" s="34">
        <f>E25+F25+G25</f>
        <v/>
      </c>
    </row>
    <row r="26">
      <c r="A26" s="35" t="inlineStr">
        <is>
          <t>2026-07-15</t>
        </is>
      </c>
      <c r="B26" s="36">
        <f>COUNTIFS(Master_Orders!D2:D174, "2026-07-15", Master_Orders!J2:J174, "COD")</f>
        <v/>
      </c>
      <c r="C26" s="36">
        <f>COUNTIFS(Master_Orders!D2:D174, "2026-07-15", Master_Orders!J2:J174, "Partial COD")</f>
        <v/>
      </c>
      <c r="D26" s="36">
        <f>COUNTIFS(Master_Orders!D2:D174, "2026-07-15", Master_Orders!J2:J174, "Prepaid")</f>
        <v/>
      </c>
      <c r="E26" s="37">
        <f>SUMIFS(Master_Orders!E2:E174, Master_Orders!D2:D174, "2026-07-15", Master_Orders!J2:J174, "COD")</f>
        <v/>
      </c>
      <c r="F26" s="37">
        <f>SUMIFS(Master_Orders!E2:E174, Master_Orders!D2:D174, "2026-07-15", Master_Orders!J2:J174, "Partial COD")</f>
        <v/>
      </c>
      <c r="G26" s="37">
        <f>SUMIFS(Master_Orders!E2:E174, Master_Orders!D2:D174, "2026-07-15", Master_Orders!J2:J174, "Prepaid")</f>
        <v/>
      </c>
      <c r="H26" s="36">
        <f>COUNTIFS(Master_Orders!D2:D174, "2026-07-15", Master_Orders!J2:J174, "COD", Master_Orders!K2:K174, "Delivered")</f>
        <v/>
      </c>
      <c r="I26" s="36">
        <f>COUNTIFS(Master_Orders!D2:D174, "2026-07-15", Master_Orders!J2:J174, "Partial COD", Master_Orders!K2:K174, "Delivered")</f>
        <v/>
      </c>
      <c r="J26" s="36">
        <f>COUNTIFS(Master_Orders!D2:D174, "2026-07-15", Master_Orders!J2:J174, "Prepaid", Master_Orders!K2:K174, "Delivered")</f>
        <v/>
      </c>
      <c r="K26" s="36">
        <f>COUNTIFS(Master_Orders!D2:D174, "2026-07-15", Master_Orders!J2:J174, "COD", Master_Orders!K2:K174, "RTO / Returned")</f>
        <v/>
      </c>
      <c r="L26" s="36">
        <f>COUNTIFS(Master_Orders!D2:D174, "2026-07-15", Master_Orders!J2:J174, "Partial COD", Master_Orders!K2:K174, "RTO / Returned")</f>
        <v/>
      </c>
      <c r="M26" s="36">
        <f>COUNTIFS(Master_Orders!D2:D174, "2026-07-15", Master_Orders!J2:J174, "Prepaid", Master_Orders!K2:K174, "RTO / Returned")</f>
        <v/>
      </c>
      <c r="N26" s="37">
        <f>E26+F26+G26</f>
        <v/>
      </c>
    </row>
    <row r="27">
      <c r="A27" s="32" t="inlineStr">
        <is>
          <t>2026-07-16</t>
        </is>
      </c>
      <c r="B27" s="33">
        <f>COUNTIFS(Master_Orders!D2:D174, "2026-07-16", Master_Orders!J2:J174, "COD")</f>
        <v/>
      </c>
      <c r="C27" s="33">
        <f>COUNTIFS(Master_Orders!D2:D174, "2026-07-16", Master_Orders!J2:J174, "Partial COD")</f>
        <v/>
      </c>
      <c r="D27" s="33">
        <f>COUNTIFS(Master_Orders!D2:D174, "2026-07-16", Master_Orders!J2:J174, "Prepaid")</f>
        <v/>
      </c>
      <c r="E27" s="34">
        <f>SUMIFS(Master_Orders!E2:E174, Master_Orders!D2:D174, "2026-07-16", Master_Orders!J2:J174, "COD")</f>
        <v/>
      </c>
      <c r="F27" s="34">
        <f>SUMIFS(Master_Orders!E2:E174, Master_Orders!D2:D174, "2026-07-16", Master_Orders!J2:J174, "Partial COD")</f>
        <v/>
      </c>
      <c r="G27" s="34">
        <f>SUMIFS(Master_Orders!E2:E174, Master_Orders!D2:D174, "2026-07-16", Master_Orders!J2:J174, "Prepaid")</f>
        <v/>
      </c>
      <c r="H27" s="33">
        <f>COUNTIFS(Master_Orders!D2:D174, "2026-07-16", Master_Orders!J2:J174, "COD", Master_Orders!K2:K174, "Delivered")</f>
        <v/>
      </c>
      <c r="I27" s="33">
        <f>COUNTIFS(Master_Orders!D2:D174, "2026-07-16", Master_Orders!J2:J174, "Partial COD", Master_Orders!K2:K174, "Delivered")</f>
        <v/>
      </c>
      <c r="J27" s="33">
        <f>COUNTIFS(Master_Orders!D2:D174, "2026-07-16", Master_Orders!J2:J174, "Prepaid", Master_Orders!K2:K174, "Delivered")</f>
        <v/>
      </c>
      <c r="K27" s="33">
        <f>COUNTIFS(Master_Orders!D2:D174, "2026-07-16", Master_Orders!J2:J174, "COD", Master_Orders!K2:K174, "RTO / Returned")</f>
        <v/>
      </c>
      <c r="L27" s="33">
        <f>COUNTIFS(Master_Orders!D2:D174, "2026-07-16", Master_Orders!J2:J174, "Partial COD", Master_Orders!K2:K174, "RTO / Returned")</f>
        <v/>
      </c>
      <c r="M27" s="33">
        <f>COUNTIFS(Master_Orders!D2:D174, "2026-07-16", Master_Orders!J2:J174, "Prepaid", Master_Orders!K2:K174, "RTO / Returned")</f>
        <v/>
      </c>
      <c r="N27" s="34">
        <f>E27+F27+G27</f>
        <v/>
      </c>
    </row>
    <row r="28">
      <c r="A28" s="35" t="inlineStr">
        <is>
          <t>2026-07-17</t>
        </is>
      </c>
      <c r="B28" s="36">
        <f>COUNTIFS(Master_Orders!D2:D174, "2026-07-17", Master_Orders!J2:J174, "COD")</f>
        <v/>
      </c>
      <c r="C28" s="36">
        <f>COUNTIFS(Master_Orders!D2:D174, "2026-07-17", Master_Orders!J2:J174, "Partial COD")</f>
        <v/>
      </c>
      <c r="D28" s="36">
        <f>COUNTIFS(Master_Orders!D2:D174, "2026-07-17", Master_Orders!J2:J174, "Prepaid")</f>
        <v/>
      </c>
      <c r="E28" s="37">
        <f>SUMIFS(Master_Orders!E2:E174, Master_Orders!D2:D174, "2026-07-17", Master_Orders!J2:J174, "COD")</f>
        <v/>
      </c>
      <c r="F28" s="37">
        <f>SUMIFS(Master_Orders!E2:E174, Master_Orders!D2:D174, "2026-07-17", Master_Orders!J2:J174, "Partial COD")</f>
        <v/>
      </c>
      <c r="G28" s="37">
        <f>SUMIFS(Master_Orders!E2:E174, Master_Orders!D2:D174, "2026-07-17", Master_Orders!J2:J174, "Prepaid")</f>
        <v/>
      </c>
      <c r="H28" s="36">
        <f>COUNTIFS(Master_Orders!D2:D174, "2026-07-17", Master_Orders!J2:J174, "COD", Master_Orders!K2:K174, "Delivered")</f>
        <v/>
      </c>
      <c r="I28" s="36">
        <f>COUNTIFS(Master_Orders!D2:D174, "2026-07-17", Master_Orders!J2:J174, "Partial COD", Master_Orders!K2:K174, "Delivered")</f>
        <v/>
      </c>
      <c r="J28" s="36">
        <f>COUNTIFS(Master_Orders!D2:D174, "2026-07-17", Master_Orders!J2:J174, "Prepaid", Master_Orders!K2:K174, "Delivered")</f>
        <v/>
      </c>
      <c r="K28" s="36">
        <f>COUNTIFS(Master_Orders!D2:D174, "2026-07-17", Master_Orders!J2:J174, "COD", Master_Orders!K2:K174, "RTO / Returned")</f>
        <v/>
      </c>
      <c r="L28" s="36">
        <f>COUNTIFS(Master_Orders!D2:D174, "2026-07-17", Master_Orders!J2:J174, "Partial COD", Master_Orders!K2:K174, "RTO / Returned")</f>
        <v/>
      </c>
      <c r="M28" s="36">
        <f>COUNTIFS(Master_Orders!D2:D174, "2026-07-17", Master_Orders!J2:J174, "Prepaid", Master_Orders!K2:K174, "RTO / Returned")</f>
        <v/>
      </c>
      <c r="N28" s="37">
        <f>E28+F28+G28</f>
        <v/>
      </c>
    </row>
    <row r="29">
      <c r="A29" s="32" t="inlineStr">
        <is>
          <t>2026-07-18</t>
        </is>
      </c>
      <c r="B29" s="33">
        <f>COUNTIFS(Master_Orders!D2:D174, "2026-07-18", Master_Orders!J2:J174, "COD")</f>
        <v/>
      </c>
      <c r="C29" s="33">
        <f>COUNTIFS(Master_Orders!D2:D174, "2026-07-18", Master_Orders!J2:J174, "Partial COD")</f>
        <v/>
      </c>
      <c r="D29" s="33">
        <f>COUNTIFS(Master_Orders!D2:D174, "2026-07-18", Master_Orders!J2:J174, "Prepaid")</f>
        <v/>
      </c>
      <c r="E29" s="34">
        <f>SUMIFS(Master_Orders!E2:E174, Master_Orders!D2:D174, "2026-07-18", Master_Orders!J2:J174, "COD")</f>
        <v/>
      </c>
      <c r="F29" s="34">
        <f>SUMIFS(Master_Orders!E2:E174, Master_Orders!D2:D174, "2026-07-18", Master_Orders!J2:J174, "Partial COD")</f>
        <v/>
      </c>
      <c r="G29" s="34">
        <f>SUMIFS(Master_Orders!E2:E174, Master_Orders!D2:D174, "2026-07-18", Master_Orders!J2:J174, "Prepaid")</f>
        <v/>
      </c>
      <c r="H29" s="33">
        <f>COUNTIFS(Master_Orders!D2:D174, "2026-07-18", Master_Orders!J2:J174, "COD", Master_Orders!K2:K174, "Delivered")</f>
        <v/>
      </c>
      <c r="I29" s="33">
        <f>COUNTIFS(Master_Orders!D2:D174, "2026-07-18", Master_Orders!J2:J174, "Partial COD", Master_Orders!K2:K174, "Delivered")</f>
        <v/>
      </c>
      <c r="J29" s="33">
        <f>COUNTIFS(Master_Orders!D2:D174, "2026-07-18", Master_Orders!J2:J174, "Prepaid", Master_Orders!K2:K174, "Delivered")</f>
        <v/>
      </c>
      <c r="K29" s="33">
        <f>COUNTIFS(Master_Orders!D2:D174, "2026-07-18", Master_Orders!J2:J174, "COD", Master_Orders!K2:K174, "RTO / Returned")</f>
        <v/>
      </c>
      <c r="L29" s="33">
        <f>COUNTIFS(Master_Orders!D2:D174, "2026-07-18", Master_Orders!J2:J174, "Partial COD", Master_Orders!K2:K174, "RTO / Returned")</f>
        <v/>
      </c>
      <c r="M29" s="33">
        <f>COUNTIFS(Master_Orders!D2:D174, "2026-07-18", Master_Orders!J2:J174, "Prepaid", Master_Orders!K2:K174, "RTO / Returned")</f>
        <v/>
      </c>
      <c r="N29" s="34">
        <f>E29+F29+G29</f>
        <v/>
      </c>
    </row>
    <row r="30">
      <c r="A30" s="35" t="inlineStr">
        <is>
          <t>2026-07-19</t>
        </is>
      </c>
      <c r="B30" s="36">
        <f>COUNTIFS(Master_Orders!D2:D174, "2026-07-19", Master_Orders!J2:J174, "COD")</f>
        <v/>
      </c>
      <c r="C30" s="36">
        <f>COUNTIFS(Master_Orders!D2:D174, "2026-07-19", Master_Orders!J2:J174, "Partial COD")</f>
        <v/>
      </c>
      <c r="D30" s="36">
        <f>COUNTIFS(Master_Orders!D2:D174, "2026-07-19", Master_Orders!J2:J174, "Prepaid")</f>
        <v/>
      </c>
      <c r="E30" s="37">
        <f>SUMIFS(Master_Orders!E2:E174, Master_Orders!D2:D174, "2026-07-19", Master_Orders!J2:J174, "COD")</f>
        <v/>
      </c>
      <c r="F30" s="37">
        <f>SUMIFS(Master_Orders!E2:E174, Master_Orders!D2:D174, "2026-07-19", Master_Orders!J2:J174, "Partial COD")</f>
        <v/>
      </c>
      <c r="G30" s="37">
        <f>SUMIFS(Master_Orders!E2:E174, Master_Orders!D2:D174, "2026-07-19", Master_Orders!J2:J174, "Prepaid")</f>
        <v/>
      </c>
      <c r="H30" s="36">
        <f>COUNTIFS(Master_Orders!D2:D174, "2026-07-19", Master_Orders!J2:J174, "COD", Master_Orders!K2:K174, "Delivered")</f>
        <v/>
      </c>
      <c r="I30" s="36">
        <f>COUNTIFS(Master_Orders!D2:D174, "2026-07-19", Master_Orders!J2:J174, "Partial COD", Master_Orders!K2:K174, "Delivered")</f>
        <v/>
      </c>
      <c r="J30" s="36">
        <f>COUNTIFS(Master_Orders!D2:D174, "2026-07-19", Master_Orders!J2:J174, "Prepaid", Master_Orders!K2:K174, "Delivered")</f>
        <v/>
      </c>
      <c r="K30" s="36">
        <f>COUNTIFS(Master_Orders!D2:D174, "2026-07-19", Master_Orders!J2:J174, "COD", Master_Orders!K2:K174, "RTO / Returned")</f>
        <v/>
      </c>
      <c r="L30" s="36">
        <f>COUNTIFS(Master_Orders!D2:D174, "2026-07-19", Master_Orders!J2:J174, "Partial COD", Master_Orders!K2:K174, "RTO / Returned")</f>
        <v/>
      </c>
      <c r="M30" s="36">
        <f>COUNTIFS(Master_Orders!D2:D174, "2026-07-19", Master_Orders!J2:J174, "Prepaid", Master_Orders!K2:K174, "RTO / Returned")</f>
        <v/>
      </c>
      <c r="N30" s="37">
        <f>E30+F30+G30</f>
        <v/>
      </c>
    </row>
    <row r="31">
      <c r="A31" s="32" t="inlineStr">
        <is>
          <t>2026-07-20</t>
        </is>
      </c>
      <c r="B31" s="33">
        <f>COUNTIFS(Master_Orders!D2:D174, "2026-07-20", Master_Orders!J2:J174, "COD")</f>
        <v/>
      </c>
      <c r="C31" s="33">
        <f>COUNTIFS(Master_Orders!D2:D174, "2026-07-20", Master_Orders!J2:J174, "Partial COD")</f>
        <v/>
      </c>
      <c r="D31" s="33">
        <f>COUNTIFS(Master_Orders!D2:D174, "2026-07-20", Master_Orders!J2:J174, "Prepaid")</f>
        <v/>
      </c>
      <c r="E31" s="34">
        <f>SUMIFS(Master_Orders!E2:E174, Master_Orders!D2:D174, "2026-07-20", Master_Orders!J2:J174, "COD")</f>
        <v/>
      </c>
      <c r="F31" s="34">
        <f>SUMIFS(Master_Orders!E2:E174, Master_Orders!D2:D174, "2026-07-20", Master_Orders!J2:J174, "Partial COD")</f>
        <v/>
      </c>
      <c r="G31" s="34">
        <f>SUMIFS(Master_Orders!E2:E174, Master_Orders!D2:D174, "2026-07-20", Master_Orders!J2:J174, "Prepaid")</f>
        <v/>
      </c>
      <c r="H31" s="33">
        <f>COUNTIFS(Master_Orders!D2:D174, "2026-07-20", Master_Orders!J2:J174, "COD", Master_Orders!K2:K174, "Delivered")</f>
        <v/>
      </c>
      <c r="I31" s="33">
        <f>COUNTIFS(Master_Orders!D2:D174, "2026-07-20", Master_Orders!J2:J174, "Partial COD", Master_Orders!K2:K174, "Delivered")</f>
        <v/>
      </c>
      <c r="J31" s="33">
        <f>COUNTIFS(Master_Orders!D2:D174, "2026-07-20", Master_Orders!J2:J174, "Prepaid", Master_Orders!K2:K174, "Delivered")</f>
        <v/>
      </c>
      <c r="K31" s="33">
        <f>COUNTIFS(Master_Orders!D2:D174, "2026-07-20", Master_Orders!J2:J174, "COD", Master_Orders!K2:K174, "RTO / Returned")</f>
        <v/>
      </c>
      <c r="L31" s="33">
        <f>COUNTIFS(Master_Orders!D2:D174, "2026-07-20", Master_Orders!J2:J174, "Partial COD", Master_Orders!K2:K174, "RTO / Returned")</f>
        <v/>
      </c>
      <c r="M31" s="33">
        <f>COUNTIFS(Master_Orders!D2:D174, "2026-07-20", Master_Orders!J2:J174, "Prepaid", Master_Orders!K2:K174, "RTO / Returned")</f>
        <v/>
      </c>
      <c r="N31" s="34">
        <f>E31+F31+G31</f>
        <v/>
      </c>
    </row>
    <row r="32">
      <c r="A32" s="35" t="inlineStr">
        <is>
          <t>2026-07-21</t>
        </is>
      </c>
      <c r="B32" s="36">
        <f>COUNTIFS(Master_Orders!D2:D174, "2026-07-21", Master_Orders!J2:J174, "COD")</f>
        <v/>
      </c>
      <c r="C32" s="36">
        <f>COUNTIFS(Master_Orders!D2:D174, "2026-07-21", Master_Orders!J2:J174, "Partial COD")</f>
        <v/>
      </c>
      <c r="D32" s="36">
        <f>COUNTIFS(Master_Orders!D2:D174, "2026-07-21", Master_Orders!J2:J174, "Prepaid")</f>
        <v/>
      </c>
      <c r="E32" s="37">
        <f>SUMIFS(Master_Orders!E2:E174, Master_Orders!D2:D174, "2026-07-21", Master_Orders!J2:J174, "COD")</f>
        <v/>
      </c>
      <c r="F32" s="37">
        <f>SUMIFS(Master_Orders!E2:E174, Master_Orders!D2:D174, "2026-07-21", Master_Orders!J2:J174, "Partial COD")</f>
        <v/>
      </c>
      <c r="G32" s="37">
        <f>SUMIFS(Master_Orders!E2:E174, Master_Orders!D2:D174, "2026-07-21", Master_Orders!J2:J174, "Prepaid")</f>
        <v/>
      </c>
      <c r="H32" s="36">
        <f>COUNTIFS(Master_Orders!D2:D174, "2026-07-21", Master_Orders!J2:J174, "COD", Master_Orders!K2:K174, "Delivered")</f>
        <v/>
      </c>
      <c r="I32" s="36">
        <f>COUNTIFS(Master_Orders!D2:D174, "2026-07-21", Master_Orders!J2:J174, "Partial COD", Master_Orders!K2:K174, "Delivered")</f>
        <v/>
      </c>
      <c r="J32" s="36">
        <f>COUNTIFS(Master_Orders!D2:D174, "2026-07-21", Master_Orders!J2:J174, "Prepaid", Master_Orders!K2:K174, "Delivered")</f>
        <v/>
      </c>
      <c r="K32" s="36">
        <f>COUNTIFS(Master_Orders!D2:D174, "2026-07-21", Master_Orders!J2:J174, "COD", Master_Orders!K2:K174, "RTO / Returned")</f>
        <v/>
      </c>
      <c r="L32" s="36">
        <f>COUNTIFS(Master_Orders!D2:D174, "2026-07-21", Master_Orders!J2:J174, "Partial COD", Master_Orders!K2:K174, "RTO / Returned")</f>
        <v/>
      </c>
      <c r="M32" s="36">
        <f>COUNTIFS(Master_Orders!D2:D174, "2026-07-21", Master_Orders!J2:J174, "Prepaid", Master_Orders!K2:K174, "RTO / Returned")</f>
        <v/>
      </c>
      <c r="N32" s="37">
        <f>E32+F32+G32</f>
        <v/>
      </c>
    </row>
    <row r="33">
      <c r="A33" s="32" t="inlineStr">
        <is>
          <t>2026-07-22</t>
        </is>
      </c>
      <c r="B33" s="33">
        <f>COUNTIFS(Master_Orders!D2:D174, "2026-07-22", Master_Orders!J2:J174, "COD")</f>
        <v/>
      </c>
      <c r="C33" s="33">
        <f>COUNTIFS(Master_Orders!D2:D174, "2026-07-22", Master_Orders!J2:J174, "Partial COD")</f>
        <v/>
      </c>
      <c r="D33" s="33">
        <f>COUNTIFS(Master_Orders!D2:D174, "2026-07-22", Master_Orders!J2:J174, "Prepaid")</f>
        <v/>
      </c>
      <c r="E33" s="34">
        <f>SUMIFS(Master_Orders!E2:E174, Master_Orders!D2:D174, "2026-07-22", Master_Orders!J2:J174, "COD")</f>
        <v/>
      </c>
      <c r="F33" s="34">
        <f>SUMIFS(Master_Orders!E2:E174, Master_Orders!D2:D174, "2026-07-22", Master_Orders!J2:J174, "Partial COD")</f>
        <v/>
      </c>
      <c r="G33" s="34">
        <f>SUMIFS(Master_Orders!E2:E174, Master_Orders!D2:D174, "2026-07-22", Master_Orders!J2:J174, "Prepaid")</f>
        <v/>
      </c>
      <c r="H33" s="33">
        <f>COUNTIFS(Master_Orders!D2:D174, "2026-07-22", Master_Orders!J2:J174, "COD", Master_Orders!K2:K174, "Delivered")</f>
        <v/>
      </c>
      <c r="I33" s="33">
        <f>COUNTIFS(Master_Orders!D2:D174, "2026-07-22", Master_Orders!J2:J174, "Partial COD", Master_Orders!K2:K174, "Delivered")</f>
        <v/>
      </c>
      <c r="J33" s="33">
        <f>COUNTIFS(Master_Orders!D2:D174, "2026-07-22", Master_Orders!J2:J174, "Prepaid", Master_Orders!K2:K174, "Delivered")</f>
        <v/>
      </c>
      <c r="K33" s="33">
        <f>COUNTIFS(Master_Orders!D2:D174, "2026-07-22", Master_Orders!J2:J174, "COD", Master_Orders!K2:K174, "RTO / Returned")</f>
        <v/>
      </c>
      <c r="L33" s="33">
        <f>COUNTIFS(Master_Orders!D2:D174, "2026-07-22", Master_Orders!J2:J174, "Partial COD", Master_Orders!K2:K174, "RTO / Returned")</f>
        <v/>
      </c>
      <c r="M33" s="33">
        <f>COUNTIFS(Master_Orders!D2:D174, "2026-07-22", Master_Orders!J2:J174, "Prepaid", Master_Orders!K2:K174, "RTO / Returned")</f>
        <v/>
      </c>
      <c r="N33" s="34">
        <f>E33+F33+G33</f>
        <v/>
      </c>
    </row>
    <row r="34">
      <c r="A34" s="35" t="inlineStr">
        <is>
          <t>2026-07-23</t>
        </is>
      </c>
      <c r="B34" s="36">
        <f>COUNTIFS(Master_Orders!D2:D174, "2026-07-23", Master_Orders!J2:J174, "COD")</f>
        <v/>
      </c>
      <c r="C34" s="36">
        <f>COUNTIFS(Master_Orders!D2:D174, "2026-07-23", Master_Orders!J2:J174, "Partial COD")</f>
        <v/>
      </c>
      <c r="D34" s="36">
        <f>COUNTIFS(Master_Orders!D2:D174, "2026-07-23", Master_Orders!J2:J174, "Prepaid")</f>
        <v/>
      </c>
      <c r="E34" s="37">
        <f>SUMIFS(Master_Orders!E2:E174, Master_Orders!D2:D174, "2026-07-23", Master_Orders!J2:J174, "COD")</f>
        <v/>
      </c>
      <c r="F34" s="37">
        <f>SUMIFS(Master_Orders!E2:E174, Master_Orders!D2:D174, "2026-07-23", Master_Orders!J2:J174, "Partial COD")</f>
        <v/>
      </c>
      <c r="G34" s="37">
        <f>SUMIFS(Master_Orders!E2:E174, Master_Orders!D2:D174, "2026-07-23", Master_Orders!J2:J174, "Prepaid")</f>
        <v/>
      </c>
      <c r="H34" s="36">
        <f>COUNTIFS(Master_Orders!D2:D174, "2026-07-23", Master_Orders!J2:J174, "COD", Master_Orders!K2:K174, "Delivered")</f>
        <v/>
      </c>
      <c r="I34" s="36">
        <f>COUNTIFS(Master_Orders!D2:D174, "2026-07-23", Master_Orders!J2:J174, "Partial COD", Master_Orders!K2:K174, "Delivered")</f>
        <v/>
      </c>
      <c r="J34" s="36">
        <f>COUNTIFS(Master_Orders!D2:D174, "2026-07-23", Master_Orders!J2:J174, "Prepaid", Master_Orders!K2:K174, "Delivered")</f>
        <v/>
      </c>
      <c r="K34" s="36">
        <f>COUNTIFS(Master_Orders!D2:D174, "2026-07-23", Master_Orders!J2:J174, "COD", Master_Orders!K2:K174, "RTO / Returned")</f>
        <v/>
      </c>
      <c r="L34" s="36">
        <f>COUNTIFS(Master_Orders!D2:D174, "2026-07-23", Master_Orders!J2:J174, "Partial COD", Master_Orders!K2:K174, "RTO / Returned")</f>
        <v/>
      </c>
      <c r="M34" s="36">
        <f>COUNTIFS(Master_Orders!D2:D174, "2026-07-23", Master_Orders!J2:J174, "Prepaid", Master_Orders!K2:K174, "RTO / Returned")</f>
        <v/>
      </c>
      <c r="N34" s="37">
        <f>E34+F34+G34</f>
        <v/>
      </c>
    </row>
    <row r="35">
      <c r="A35" s="32" t="inlineStr">
        <is>
          <t>2026-07-24</t>
        </is>
      </c>
      <c r="B35" s="33">
        <f>COUNTIFS(Master_Orders!D2:D174, "2026-07-24", Master_Orders!J2:J174, "COD")</f>
        <v/>
      </c>
      <c r="C35" s="33">
        <f>COUNTIFS(Master_Orders!D2:D174, "2026-07-24", Master_Orders!J2:J174, "Partial COD")</f>
        <v/>
      </c>
      <c r="D35" s="33">
        <f>COUNTIFS(Master_Orders!D2:D174, "2026-07-24", Master_Orders!J2:J174, "Prepaid")</f>
        <v/>
      </c>
      <c r="E35" s="34">
        <f>SUMIFS(Master_Orders!E2:E174, Master_Orders!D2:D174, "2026-07-24", Master_Orders!J2:J174, "COD")</f>
        <v/>
      </c>
      <c r="F35" s="34">
        <f>SUMIFS(Master_Orders!E2:E174, Master_Orders!D2:D174, "2026-07-24", Master_Orders!J2:J174, "Partial COD")</f>
        <v/>
      </c>
      <c r="G35" s="34">
        <f>SUMIFS(Master_Orders!E2:E174, Master_Orders!D2:D174, "2026-07-24", Master_Orders!J2:J174, "Prepaid")</f>
        <v/>
      </c>
      <c r="H35" s="33">
        <f>COUNTIFS(Master_Orders!D2:D174, "2026-07-24", Master_Orders!J2:J174, "COD", Master_Orders!K2:K174, "Delivered")</f>
        <v/>
      </c>
      <c r="I35" s="33">
        <f>COUNTIFS(Master_Orders!D2:D174, "2026-07-24", Master_Orders!J2:J174, "Partial COD", Master_Orders!K2:K174, "Delivered")</f>
        <v/>
      </c>
      <c r="J35" s="33">
        <f>COUNTIFS(Master_Orders!D2:D174, "2026-07-24", Master_Orders!J2:J174, "Prepaid", Master_Orders!K2:K174, "Delivered")</f>
        <v/>
      </c>
      <c r="K35" s="33">
        <f>COUNTIFS(Master_Orders!D2:D174, "2026-07-24", Master_Orders!J2:J174, "COD", Master_Orders!K2:K174, "RTO / Returned")</f>
        <v/>
      </c>
      <c r="L35" s="33">
        <f>COUNTIFS(Master_Orders!D2:D174, "2026-07-24", Master_Orders!J2:J174, "Partial COD", Master_Orders!K2:K174, "RTO / Returned")</f>
        <v/>
      </c>
      <c r="M35" s="33">
        <f>COUNTIFS(Master_Orders!D2:D174, "2026-07-24", Master_Orders!J2:J174, "Prepaid", Master_Orders!K2:K174, "RTO / Returned")</f>
        <v/>
      </c>
      <c r="N35" s="34">
        <f>E35+F35+G35</f>
        <v/>
      </c>
    </row>
    <row r="36">
      <c r="A36" s="35" t="inlineStr">
        <is>
          <t>2026-07-25</t>
        </is>
      </c>
      <c r="B36" s="36">
        <f>COUNTIFS(Master_Orders!D2:D174, "2026-07-25", Master_Orders!J2:J174, "COD")</f>
        <v/>
      </c>
      <c r="C36" s="36">
        <f>COUNTIFS(Master_Orders!D2:D174, "2026-07-25", Master_Orders!J2:J174, "Partial COD")</f>
        <v/>
      </c>
      <c r="D36" s="36">
        <f>COUNTIFS(Master_Orders!D2:D174, "2026-07-25", Master_Orders!J2:J174, "Prepaid")</f>
        <v/>
      </c>
      <c r="E36" s="37">
        <f>SUMIFS(Master_Orders!E2:E174, Master_Orders!D2:D174, "2026-07-25", Master_Orders!J2:J174, "COD")</f>
        <v/>
      </c>
      <c r="F36" s="37">
        <f>SUMIFS(Master_Orders!E2:E174, Master_Orders!D2:D174, "2026-07-25", Master_Orders!J2:J174, "Partial COD")</f>
        <v/>
      </c>
      <c r="G36" s="37">
        <f>SUMIFS(Master_Orders!E2:E174, Master_Orders!D2:D174, "2026-07-25", Master_Orders!J2:J174, "Prepaid")</f>
        <v/>
      </c>
      <c r="H36" s="36">
        <f>COUNTIFS(Master_Orders!D2:D174, "2026-07-25", Master_Orders!J2:J174, "COD", Master_Orders!K2:K174, "Delivered")</f>
        <v/>
      </c>
      <c r="I36" s="36">
        <f>COUNTIFS(Master_Orders!D2:D174, "2026-07-25", Master_Orders!J2:J174, "Partial COD", Master_Orders!K2:K174, "Delivered")</f>
        <v/>
      </c>
      <c r="J36" s="36">
        <f>COUNTIFS(Master_Orders!D2:D174, "2026-07-25", Master_Orders!J2:J174, "Prepaid", Master_Orders!K2:K174, "Delivered")</f>
        <v/>
      </c>
      <c r="K36" s="36">
        <f>COUNTIFS(Master_Orders!D2:D174, "2026-07-25", Master_Orders!J2:J174, "COD", Master_Orders!K2:K174, "RTO / Returned")</f>
        <v/>
      </c>
      <c r="L36" s="36">
        <f>COUNTIFS(Master_Orders!D2:D174, "2026-07-25", Master_Orders!J2:J174, "Partial COD", Master_Orders!K2:K174, "RTO / Returned")</f>
        <v/>
      </c>
      <c r="M36" s="36">
        <f>COUNTIFS(Master_Orders!D2:D174, "2026-07-25", Master_Orders!J2:J174, "Prepaid", Master_Orders!K2:K174, "RTO / Returned")</f>
        <v/>
      </c>
      <c r="N36" s="37">
        <f>E36+F36+G36</f>
        <v/>
      </c>
    </row>
    <row r="37">
      <c r="A37" s="32" t="inlineStr">
        <is>
          <t>2026-07-26</t>
        </is>
      </c>
      <c r="B37" s="33">
        <f>COUNTIFS(Master_Orders!D2:D174, "2026-07-26", Master_Orders!J2:J174, "COD")</f>
        <v/>
      </c>
      <c r="C37" s="33">
        <f>COUNTIFS(Master_Orders!D2:D174, "2026-07-26", Master_Orders!J2:J174, "Partial COD")</f>
        <v/>
      </c>
      <c r="D37" s="33">
        <f>COUNTIFS(Master_Orders!D2:D174, "2026-07-26", Master_Orders!J2:J174, "Prepaid")</f>
        <v/>
      </c>
      <c r="E37" s="34">
        <f>SUMIFS(Master_Orders!E2:E174, Master_Orders!D2:D174, "2026-07-26", Master_Orders!J2:J174, "COD")</f>
        <v/>
      </c>
      <c r="F37" s="34">
        <f>SUMIFS(Master_Orders!E2:E174, Master_Orders!D2:D174, "2026-07-26", Master_Orders!J2:J174, "Partial COD")</f>
        <v/>
      </c>
      <c r="G37" s="34">
        <f>SUMIFS(Master_Orders!E2:E174, Master_Orders!D2:D174, "2026-07-26", Master_Orders!J2:J174, "Prepaid")</f>
        <v/>
      </c>
      <c r="H37" s="33">
        <f>COUNTIFS(Master_Orders!D2:D174, "2026-07-26", Master_Orders!J2:J174, "COD", Master_Orders!K2:K174, "Delivered")</f>
        <v/>
      </c>
      <c r="I37" s="33">
        <f>COUNTIFS(Master_Orders!D2:D174, "2026-07-26", Master_Orders!J2:J174, "Partial COD", Master_Orders!K2:K174, "Delivered")</f>
        <v/>
      </c>
      <c r="J37" s="33">
        <f>COUNTIFS(Master_Orders!D2:D174, "2026-07-26", Master_Orders!J2:J174, "Prepaid", Master_Orders!K2:K174, "Delivered")</f>
        <v/>
      </c>
      <c r="K37" s="33">
        <f>COUNTIFS(Master_Orders!D2:D174, "2026-07-26", Master_Orders!J2:J174, "COD", Master_Orders!K2:K174, "RTO / Returned")</f>
        <v/>
      </c>
      <c r="L37" s="33">
        <f>COUNTIFS(Master_Orders!D2:D174, "2026-07-26", Master_Orders!J2:J174, "Partial COD", Master_Orders!K2:K174, "RTO / Returned")</f>
        <v/>
      </c>
      <c r="M37" s="33">
        <f>COUNTIFS(Master_Orders!D2:D174, "2026-07-26", Master_Orders!J2:J174, "Prepaid", Master_Orders!K2:K174, "RTO / Returned")</f>
        <v/>
      </c>
      <c r="N37" s="34">
        <f>E37+F37+G37</f>
        <v/>
      </c>
    </row>
    <row r="38">
      <c r="A38" s="35" t="inlineStr">
        <is>
          <t>2026-07-27</t>
        </is>
      </c>
      <c r="B38" s="36">
        <f>COUNTIFS(Master_Orders!D2:D174, "2026-07-27", Master_Orders!J2:J174, "COD")</f>
        <v/>
      </c>
      <c r="C38" s="36">
        <f>COUNTIFS(Master_Orders!D2:D174, "2026-07-27", Master_Orders!J2:J174, "Partial COD")</f>
        <v/>
      </c>
      <c r="D38" s="36">
        <f>COUNTIFS(Master_Orders!D2:D174, "2026-07-27", Master_Orders!J2:J174, "Prepaid")</f>
        <v/>
      </c>
      <c r="E38" s="37">
        <f>SUMIFS(Master_Orders!E2:E174, Master_Orders!D2:D174, "2026-07-27", Master_Orders!J2:J174, "COD")</f>
        <v/>
      </c>
      <c r="F38" s="37">
        <f>SUMIFS(Master_Orders!E2:E174, Master_Orders!D2:D174, "2026-07-27", Master_Orders!J2:J174, "Partial COD")</f>
        <v/>
      </c>
      <c r="G38" s="37">
        <f>SUMIFS(Master_Orders!E2:E174, Master_Orders!D2:D174, "2026-07-27", Master_Orders!J2:J174, "Prepaid")</f>
        <v/>
      </c>
      <c r="H38" s="36">
        <f>COUNTIFS(Master_Orders!D2:D174, "2026-07-27", Master_Orders!J2:J174, "COD", Master_Orders!K2:K174, "Delivered")</f>
        <v/>
      </c>
      <c r="I38" s="36">
        <f>COUNTIFS(Master_Orders!D2:D174, "2026-07-27", Master_Orders!J2:J174, "Partial COD", Master_Orders!K2:K174, "Delivered")</f>
        <v/>
      </c>
      <c r="J38" s="36">
        <f>COUNTIFS(Master_Orders!D2:D174, "2026-07-27", Master_Orders!J2:J174, "Prepaid", Master_Orders!K2:K174, "Delivered")</f>
        <v/>
      </c>
      <c r="K38" s="36">
        <f>COUNTIFS(Master_Orders!D2:D174, "2026-07-27", Master_Orders!J2:J174, "COD", Master_Orders!K2:K174, "RTO / Returned")</f>
        <v/>
      </c>
      <c r="L38" s="36">
        <f>COUNTIFS(Master_Orders!D2:D174, "2026-07-27", Master_Orders!J2:J174, "Partial COD", Master_Orders!K2:K174, "RTO / Returned")</f>
        <v/>
      </c>
      <c r="M38" s="36">
        <f>COUNTIFS(Master_Orders!D2:D174, "2026-07-27", Master_Orders!J2:J174, "Prepaid", Master_Orders!K2:K174, "RTO / Returned")</f>
        <v/>
      </c>
      <c r="N38" s="37">
        <f>E38+F38+G38</f>
        <v/>
      </c>
    </row>
    <row r="39">
      <c r="A39" s="32" t="inlineStr">
        <is>
          <t>2026-07-28</t>
        </is>
      </c>
      <c r="B39" s="33">
        <f>COUNTIFS(Master_Orders!D2:D174, "2026-07-28", Master_Orders!J2:J174, "COD")</f>
        <v/>
      </c>
      <c r="C39" s="33">
        <f>COUNTIFS(Master_Orders!D2:D174, "2026-07-28", Master_Orders!J2:J174, "Partial COD")</f>
        <v/>
      </c>
      <c r="D39" s="33">
        <f>COUNTIFS(Master_Orders!D2:D174, "2026-07-28", Master_Orders!J2:J174, "Prepaid")</f>
        <v/>
      </c>
      <c r="E39" s="34">
        <f>SUMIFS(Master_Orders!E2:E174, Master_Orders!D2:D174, "2026-07-28", Master_Orders!J2:J174, "COD")</f>
        <v/>
      </c>
      <c r="F39" s="34">
        <f>SUMIFS(Master_Orders!E2:E174, Master_Orders!D2:D174, "2026-07-28", Master_Orders!J2:J174, "Partial COD")</f>
        <v/>
      </c>
      <c r="G39" s="34">
        <f>SUMIFS(Master_Orders!E2:E174, Master_Orders!D2:D174, "2026-07-28", Master_Orders!J2:J174, "Prepaid")</f>
        <v/>
      </c>
      <c r="H39" s="33">
        <f>COUNTIFS(Master_Orders!D2:D174, "2026-07-28", Master_Orders!J2:J174, "COD", Master_Orders!K2:K174, "Delivered")</f>
        <v/>
      </c>
      <c r="I39" s="33">
        <f>COUNTIFS(Master_Orders!D2:D174, "2026-07-28", Master_Orders!J2:J174, "Partial COD", Master_Orders!K2:K174, "Delivered")</f>
        <v/>
      </c>
      <c r="J39" s="33">
        <f>COUNTIFS(Master_Orders!D2:D174, "2026-07-28", Master_Orders!J2:J174, "Prepaid", Master_Orders!K2:K174, "Delivered")</f>
        <v/>
      </c>
      <c r="K39" s="33">
        <f>COUNTIFS(Master_Orders!D2:D174, "2026-07-28", Master_Orders!J2:J174, "COD", Master_Orders!K2:K174, "RTO / Returned")</f>
        <v/>
      </c>
      <c r="L39" s="33">
        <f>COUNTIFS(Master_Orders!D2:D174, "2026-07-28", Master_Orders!J2:J174, "Partial COD", Master_Orders!K2:K174, "RTO / Returned")</f>
        <v/>
      </c>
      <c r="M39" s="33">
        <f>COUNTIFS(Master_Orders!D2:D174, "2026-07-28", Master_Orders!J2:J174, "Prepaid", Master_Orders!K2:K174, "RTO / Returned")</f>
        <v/>
      </c>
      <c r="N39" s="34">
        <f>E39+F39+G39</f>
        <v/>
      </c>
    </row>
    <row r="40">
      <c r="A40" s="35" t="inlineStr">
        <is>
          <t>2026-07-29</t>
        </is>
      </c>
      <c r="B40" s="36">
        <f>COUNTIFS(Master_Orders!D2:D174, "2026-07-29", Master_Orders!J2:J174, "COD")</f>
        <v/>
      </c>
      <c r="C40" s="36">
        <f>COUNTIFS(Master_Orders!D2:D174, "2026-07-29", Master_Orders!J2:J174, "Partial COD")</f>
        <v/>
      </c>
      <c r="D40" s="36">
        <f>COUNTIFS(Master_Orders!D2:D174, "2026-07-29", Master_Orders!J2:J174, "Prepaid")</f>
        <v/>
      </c>
      <c r="E40" s="37">
        <f>SUMIFS(Master_Orders!E2:E174, Master_Orders!D2:D174, "2026-07-29", Master_Orders!J2:J174, "COD")</f>
        <v/>
      </c>
      <c r="F40" s="37">
        <f>SUMIFS(Master_Orders!E2:E174, Master_Orders!D2:D174, "2026-07-29", Master_Orders!J2:J174, "Partial COD")</f>
        <v/>
      </c>
      <c r="G40" s="37">
        <f>SUMIFS(Master_Orders!E2:E174, Master_Orders!D2:D174, "2026-07-29", Master_Orders!J2:J174, "Prepaid")</f>
        <v/>
      </c>
      <c r="H40" s="36">
        <f>COUNTIFS(Master_Orders!D2:D174, "2026-07-29", Master_Orders!J2:J174, "COD", Master_Orders!K2:K174, "Delivered")</f>
        <v/>
      </c>
      <c r="I40" s="36">
        <f>COUNTIFS(Master_Orders!D2:D174, "2026-07-29", Master_Orders!J2:J174, "Partial COD", Master_Orders!K2:K174, "Delivered")</f>
        <v/>
      </c>
      <c r="J40" s="36">
        <f>COUNTIFS(Master_Orders!D2:D174, "2026-07-29", Master_Orders!J2:J174, "Prepaid", Master_Orders!K2:K174, "Delivered")</f>
        <v/>
      </c>
      <c r="K40" s="36">
        <f>COUNTIFS(Master_Orders!D2:D174, "2026-07-29", Master_Orders!J2:J174, "COD", Master_Orders!K2:K174, "RTO / Returned")</f>
        <v/>
      </c>
      <c r="L40" s="36">
        <f>COUNTIFS(Master_Orders!D2:D174, "2026-07-29", Master_Orders!J2:J174, "Partial COD", Master_Orders!K2:K174, "RTO / Returned")</f>
        <v/>
      </c>
      <c r="M40" s="36">
        <f>COUNTIFS(Master_Orders!D2:D174, "2026-07-29", Master_Orders!J2:J174, "Prepaid", Master_Orders!K2:K174, "RTO / Returned")</f>
        <v/>
      </c>
      <c r="N40" s="37">
        <f>E40+F40+G40</f>
        <v/>
      </c>
    </row>
    <row r="41">
      <c r="A41" s="32" t="inlineStr">
        <is>
          <t>2026-07-30</t>
        </is>
      </c>
      <c r="B41" s="33">
        <f>COUNTIFS(Master_Orders!D2:D174, "2026-07-30", Master_Orders!J2:J174, "COD")</f>
        <v/>
      </c>
      <c r="C41" s="33">
        <f>COUNTIFS(Master_Orders!D2:D174, "2026-07-30", Master_Orders!J2:J174, "Partial COD")</f>
        <v/>
      </c>
      <c r="D41" s="33">
        <f>COUNTIFS(Master_Orders!D2:D174, "2026-07-30", Master_Orders!J2:J174, "Prepaid")</f>
        <v/>
      </c>
      <c r="E41" s="34">
        <f>SUMIFS(Master_Orders!E2:E174, Master_Orders!D2:D174, "2026-07-30", Master_Orders!J2:J174, "COD")</f>
        <v/>
      </c>
      <c r="F41" s="34">
        <f>SUMIFS(Master_Orders!E2:E174, Master_Orders!D2:D174, "2026-07-30", Master_Orders!J2:J174, "Partial COD")</f>
        <v/>
      </c>
      <c r="G41" s="34">
        <f>SUMIFS(Master_Orders!E2:E174, Master_Orders!D2:D174, "2026-07-30", Master_Orders!J2:J174, "Prepaid")</f>
        <v/>
      </c>
      <c r="H41" s="33">
        <f>COUNTIFS(Master_Orders!D2:D174, "2026-07-30", Master_Orders!J2:J174, "COD", Master_Orders!K2:K174, "Delivered")</f>
        <v/>
      </c>
      <c r="I41" s="33">
        <f>COUNTIFS(Master_Orders!D2:D174, "2026-07-30", Master_Orders!J2:J174, "Partial COD", Master_Orders!K2:K174, "Delivered")</f>
        <v/>
      </c>
      <c r="J41" s="33">
        <f>COUNTIFS(Master_Orders!D2:D174, "2026-07-30", Master_Orders!J2:J174, "Prepaid", Master_Orders!K2:K174, "Delivered")</f>
        <v/>
      </c>
      <c r="K41" s="33">
        <f>COUNTIFS(Master_Orders!D2:D174, "2026-07-30", Master_Orders!J2:J174, "COD", Master_Orders!K2:K174, "RTO / Returned")</f>
        <v/>
      </c>
      <c r="L41" s="33">
        <f>COUNTIFS(Master_Orders!D2:D174, "2026-07-30", Master_Orders!J2:J174, "Partial COD", Master_Orders!K2:K174, "RTO / Returned")</f>
        <v/>
      </c>
      <c r="M41" s="33">
        <f>COUNTIFS(Master_Orders!D2:D174, "2026-07-30", Master_Orders!J2:J174, "Prepaid", Master_Orders!K2:K174, "RTO / Returned")</f>
        <v/>
      </c>
      <c r="N41" s="34">
        <f>E41+F41+G41</f>
        <v/>
      </c>
    </row>
    <row r="42">
      <c r="A42" s="22" t="inlineStr">
        <is>
          <t>Total Portfolio</t>
        </is>
      </c>
      <c r="B42" s="38">
        <f>SUM(B5:B41)</f>
        <v/>
      </c>
      <c r="C42" s="38">
        <f>SUM(C5:C41)</f>
        <v/>
      </c>
      <c r="D42" s="38">
        <f>SUM(D5:D41)</f>
        <v/>
      </c>
      <c r="E42" s="39">
        <f>SUM(E5:E41)</f>
        <v/>
      </c>
      <c r="F42" s="39">
        <f>SUM(F5:F41)</f>
        <v/>
      </c>
      <c r="G42" s="39">
        <f>SUM(G5:G41)</f>
        <v/>
      </c>
      <c r="H42" s="38">
        <f>SUM(H5:H41)</f>
        <v/>
      </c>
      <c r="I42" s="38">
        <f>SUM(I5:I41)</f>
        <v/>
      </c>
      <c r="J42" s="38">
        <f>SUM(J5:J41)</f>
        <v/>
      </c>
      <c r="K42" s="38">
        <f>SUM(K5:K41)</f>
        <v/>
      </c>
      <c r="L42" s="38">
        <f>SUM(L5:L41)</f>
        <v/>
      </c>
      <c r="M42" s="38">
        <f>SUM(M5:M41)</f>
        <v/>
      </c>
      <c r="N42" s="39">
        <f>SUM(N5:N41)</f>
        <v/>
      </c>
    </row>
  </sheetData>
  <mergeCells count="7">
    <mergeCell ref="A1:N2"/>
    <mergeCell ref="B3:D3"/>
    <mergeCell ref="A3:A4"/>
    <mergeCell ref="N3:N4"/>
    <mergeCell ref="E3:G3"/>
    <mergeCell ref="K3:M3"/>
    <mergeCell ref="H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00" customWidth="1" min="3" max="3"/>
    <col width="14" customWidth="1" min="4" max="4"/>
    <col width="115" customWidth="1" min="5" max="5"/>
    <col width="136" customWidth="1" min="6" max="6"/>
    <col width="120" customWidth="1" min="7" max="7"/>
    <col width="141" customWidth="1" min="8" max="8"/>
    <col width="114" customWidth="1" min="9" max="9"/>
    <col width="116" customWidth="1" min="10" max="10"/>
    <col width="21" customWidth="1" min="11" max="11"/>
  </cols>
  <sheetData>
    <row r="1">
      <c r="A1" s="1" t="inlineStr">
        <is>
          <t>JANVI AIKA - INDIVIDUAL DAYWISE REPORT: CASH ON DELIVERY (COD)</t>
        </is>
      </c>
    </row>
    <row r="2"/>
    <row r="3">
      <c r="A3" s="26" t="inlineStr">
        <is>
          <t>Order Date</t>
        </is>
      </c>
      <c r="B3" s="26" t="inlineStr">
        <is>
          <t>COD Orders</t>
        </is>
      </c>
      <c r="C3" s="26" t="inlineStr">
        <is>
          <t>COD Revenue (Rs.)</t>
        </is>
      </c>
      <c r="D3" s="26" t="inlineStr">
        <is>
          <t>AOV (Rs.)</t>
        </is>
      </c>
      <c r="E3" s="26" t="inlineStr">
        <is>
          <t>Delivered Count</t>
        </is>
      </c>
      <c r="F3" s="26" t="inlineStr">
        <is>
          <t>Delivered Rev (Rs.)</t>
        </is>
      </c>
      <c r="G3" s="26" t="inlineStr">
        <is>
          <t>RTO Count</t>
        </is>
      </c>
      <c r="H3" s="26" t="inlineStr">
        <is>
          <t>RTO Rev Loss (Rs.)</t>
        </is>
      </c>
      <c r="I3" s="26" t="inlineStr">
        <is>
          <t>Canceled Count</t>
        </is>
      </c>
      <c r="J3" s="26" t="inlineStr">
        <is>
          <t>In Transit Count</t>
        </is>
      </c>
      <c r="K3" s="26" t="inlineStr">
        <is>
          <t>Realization Rate %</t>
        </is>
      </c>
    </row>
    <row r="4">
      <c r="A4" s="40" t="inlineStr">
        <is>
          <t>2026-06-24</t>
        </is>
      </c>
      <c r="B4" s="11">
        <f>COUNTIFS(Master_Orders!D2:D174, "2026-06-24", Master_Orders!J2:J174, "COD")</f>
        <v/>
      </c>
      <c r="C4" s="13">
        <f>SUMIFS(Master_Orders!E2:E174, Master_Orders!D2:D174, "2026-06-24", Master_Orders!J2:J174, "COD")</f>
        <v/>
      </c>
      <c r="D4" s="13">
        <f>C4/B4</f>
        <v/>
      </c>
      <c r="E4" s="11">
        <f>COUNTIFS(Master_Orders!D2:D174, "2026-06-24", Master_Orders!J2:J174, "COD", Master_Orders!K2:K174, "Delivered")</f>
        <v/>
      </c>
      <c r="F4" s="13">
        <f>SUMIFS(Master_Orders!E2:E174, Master_Orders!D2:D174, "2026-06-24", Master_Orders!J2:J174, "COD", Master_Orders!K2:K174, "Delivered")</f>
        <v/>
      </c>
      <c r="G4" s="11">
        <f>COUNTIFS(Master_Orders!D2:D174, "2026-06-24", Master_Orders!J2:J174, "COD", Master_Orders!K2:K174, "RTO / Returned")</f>
        <v/>
      </c>
      <c r="H4" s="13">
        <f>SUMIFS(Master_Orders!E2:E174, Master_Orders!D2:D174, "2026-06-24", Master_Orders!J2:J174, "COD", Master_Orders!K2:K174, "RTO / Returned")</f>
        <v/>
      </c>
      <c r="I4" s="11">
        <f>COUNTIFS(Master_Orders!D2:D174, "2026-06-24", Master_Orders!J2:J174, "COD", Master_Orders!K2:K174, "Canceled")</f>
        <v/>
      </c>
      <c r="J4" s="11">
        <f>COUNTIFS(Master_Orders!D2:D174, "2026-06-24", Master_Orders!J2:J174, "COD", Master_Orders!K2:K174, "In Transit")</f>
        <v/>
      </c>
      <c r="K4" s="12">
        <f>E4/B4</f>
        <v/>
      </c>
    </row>
    <row r="5">
      <c r="A5" s="40" t="inlineStr">
        <is>
          <t>2026-06-25</t>
        </is>
      </c>
      <c r="B5" s="11">
        <f>COUNTIFS(Master_Orders!D2:D174, "2026-06-25", Master_Orders!J2:J174, "COD")</f>
        <v/>
      </c>
      <c r="C5" s="13">
        <f>SUMIFS(Master_Orders!E2:E174, Master_Orders!D2:D174, "2026-06-25", Master_Orders!J2:J174, "COD")</f>
        <v/>
      </c>
      <c r="D5" s="13">
        <f>C5/B5</f>
        <v/>
      </c>
      <c r="E5" s="11">
        <f>COUNTIFS(Master_Orders!D2:D174, "2026-06-25", Master_Orders!J2:J174, "COD", Master_Orders!K2:K174, "Delivered")</f>
        <v/>
      </c>
      <c r="F5" s="13">
        <f>SUMIFS(Master_Orders!E2:E174, Master_Orders!D2:D174, "2026-06-25", Master_Orders!J2:J174, "COD", Master_Orders!K2:K174, "Delivered")</f>
        <v/>
      </c>
      <c r="G5" s="11">
        <f>COUNTIFS(Master_Orders!D2:D174, "2026-06-25", Master_Orders!J2:J174, "COD", Master_Orders!K2:K174, "RTO / Returned")</f>
        <v/>
      </c>
      <c r="H5" s="13">
        <f>SUMIFS(Master_Orders!E2:E174, Master_Orders!D2:D174, "2026-06-25", Master_Orders!J2:J174, "COD", Master_Orders!K2:K174, "RTO / Returned")</f>
        <v/>
      </c>
      <c r="I5" s="11">
        <f>COUNTIFS(Master_Orders!D2:D174, "2026-06-25", Master_Orders!J2:J174, "COD", Master_Orders!K2:K174, "Canceled")</f>
        <v/>
      </c>
      <c r="J5" s="11">
        <f>COUNTIFS(Master_Orders!D2:D174, "2026-06-25", Master_Orders!J2:J174, "COD", Master_Orders!K2:K174, "In Transit")</f>
        <v/>
      </c>
      <c r="K5" s="12">
        <f>E5/B5</f>
        <v/>
      </c>
    </row>
    <row r="6">
      <c r="A6" s="40" t="inlineStr">
        <is>
          <t>2026-06-27</t>
        </is>
      </c>
      <c r="B6" s="11">
        <f>COUNTIFS(Master_Orders!D2:D174, "2026-06-27", Master_Orders!J2:J174, "COD")</f>
        <v/>
      </c>
      <c r="C6" s="13">
        <f>SUMIFS(Master_Orders!E2:E174, Master_Orders!D2:D174, "2026-06-27", Master_Orders!J2:J174, "COD")</f>
        <v/>
      </c>
      <c r="D6" s="13">
        <f>C6/B6</f>
        <v/>
      </c>
      <c r="E6" s="11">
        <f>COUNTIFS(Master_Orders!D2:D174, "2026-06-27", Master_Orders!J2:J174, "COD", Master_Orders!K2:K174, "Delivered")</f>
        <v/>
      </c>
      <c r="F6" s="13">
        <f>SUMIFS(Master_Orders!E2:E174, Master_Orders!D2:D174, "2026-06-27", Master_Orders!J2:J174, "COD", Master_Orders!K2:K174, "Delivered")</f>
        <v/>
      </c>
      <c r="G6" s="11">
        <f>COUNTIFS(Master_Orders!D2:D174, "2026-06-27", Master_Orders!J2:J174, "COD", Master_Orders!K2:K174, "RTO / Returned")</f>
        <v/>
      </c>
      <c r="H6" s="13">
        <f>SUMIFS(Master_Orders!E2:E174, Master_Orders!D2:D174, "2026-06-27", Master_Orders!J2:J174, "COD", Master_Orders!K2:K174, "RTO / Returned")</f>
        <v/>
      </c>
      <c r="I6" s="11">
        <f>COUNTIFS(Master_Orders!D2:D174, "2026-06-27", Master_Orders!J2:J174, "COD", Master_Orders!K2:K174, "Canceled")</f>
        <v/>
      </c>
      <c r="J6" s="11">
        <f>COUNTIFS(Master_Orders!D2:D174, "2026-06-27", Master_Orders!J2:J174, "COD", Master_Orders!K2:K174, "In Transit")</f>
        <v/>
      </c>
      <c r="K6" s="12">
        <f>E6/B6</f>
        <v/>
      </c>
    </row>
    <row r="7">
      <c r="A7" s="40" t="inlineStr">
        <is>
          <t>2026-06-28</t>
        </is>
      </c>
      <c r="B7" s="11">
        <f>COUNTIFS(Master_Orders!D2:D174, "2026-06-28", Master_Orders!J2:J174, "COD")</f>
        <v/>
      </c>
      <c r="C7" s="13">
        <f>SUMIFS(Master_Orders!E2:E174, Master_Orders!D2:D174, "2026-06-28", Master_Orders!J2:J174, "COD")</f>
        <v/>
      </c>
      <c r="D7" s="13">
        <f>C7/B7</f>
        <v/>
      </c>
      <c r="E7" s="11">
        <f>COUNTIFS(Master_Orders!D2:D174, "2026-06-28", Master_Orders!J2:J174, "COD", Master_Orders!K2:K174, "Delivered")</f>
        <v/>
      </c>
      <c r="F7" s="13">
        <f>SUMIFS(Master_Orders!E2:E174, Master_Orders!D2:D174, "2026-06-28", Master_Orders!J2:J174, "COD", Master_Orders!K2:K174, "Delivered")</f>
        <v/>
      </c>
      <c r="G7" s="11">
        <f>COUNTIFS(Master_Orders!D2:D174, "2026-06-28", Master_Orders!J2:J174, "COD", Master_Orders!K2:K174, "RTO / Returned")</f>
        <v/>
      </c>
      <c r="H7" s="13">
        <f>SUMIFS(Master_Orders!E2:E174, Master_Orders!D2:D174, "2026-06-28", Master_Orders!J2:J174, "COD", Master_Orders!K2:K174, "RTO / Returned")</f>
        <v/>
      </c>
      <c r="I7" s="11">
        <f>COUNTIFS(Master_Orders!D2:D174, "2026-06-28", Master_Orders!J2:J174, "COD", Master_Orders!K2:K174, "Canceled")</f>
        <v/>
      </c>
      <c r="J7" s="11">
        <f>COUNTIFS(Master_Orders!D2:D174, "2026-06-28", Master_Orders!J2:J174, "COD", Master_Orders!K2:K174, "In Transit")</f>
        <v/>
      </c>
      <c r="K7" s="12">
        <f>E7/B7</f>
        <v/>
      </c>
    </row>
    <row r="8">
      <c r="A8" s="40" t="inlineStr">
        <is>
          <t>2026-06-29</t>
        </is>
      </c>
      <c r="B8" s="11">
        <f>COUNTIFS(Master_Orders!D2:D174, "2026-06-29", Master_Orders!J2:J174, "COD")</f>
        <v/>
      </c>
      <c r="C8" s="13">
        <f>SUMIFS(Master_Orders!E2:E174, Master_Orders!D2:D174, "2026-06-29", Master_Orders!J2:J174, "COD")</f>
        <v/>
      </c>
      <c r="D8" s="13">
        <f>C8/B8</f>
        <v/>
      </c>
      <c r="E8" s="11">
        <f>COUNTIFS(Master_Orders!D2:D174, "2026-06-29", Master_Orders!J2:J174, "COD", Master_Orders!K2:K174, "Delivered")</f>
        <v/>
      </c>
      <c r="F8" s="13">
        <f>SUMIFS(Master_Orders!E2:E174, Master_Orders!D2:D174, "2026-06-29", Master_Orders!J2:J174, "COD", Master_Orders!K2:K174, "Delivered")</f>
        <v/>
      </c>
      <c r="G8" s="11">
        <f>COUNTIFS(Master_Orders!D2:D174, "2026-06-29", Master_Orders!J2:J174, "COD", Master_Orders!K2:K174, "RTO / Returned")</f>
        <v/>
      </c>
      <c r="H8" s="13">
        <f>SUMIFS(Master_Orders!E2:E174, Master_Orders!D2:D174, "2026-06-29", Master_Orders!J2:J174, "COD", Master_Orders!K2:K174, "RTO / Returned")</f>
        <v/>
      </c>
      <c r="I8" s="11">
        <f>COUNTIFS(Master_Orders!D2:D174, "2026-06-29", Master_Orders!J2:J174, "COD", Master_Orders!K2:K174, "Canceled")</f>
        <v/>
      </c>
      <c r="J8" s="11">
        <f>COUNTIFS(Master_Orders!D2:D174, "2026-06-29", Master_Orders!J2:J174, "COD", Master_Orders!K2:K174, "In Transit")</f>
        <v/>
      </c>
      <c r="K8" s="12">
        <f>E8/B8</f>
        <v/>
      </c>
    </row>
    <row r="9">
      <c r="A9" s="40" t="inlineStr">
        <is>
          <t>2026-06-30</t>
        </is>
      </c>
      <c r="B9" s="11">
        <f>COUNTIFS(Master_Orders!D2:D174, "2026-06-30", Master_Orders!J2:J174, "COD")</f>
        <v/>
      </c>
      <c r="C9" s="13">
        <f>SUMIFS(Master_Orders!E2:E174, Master_Orders!D2:D174, "2026-06-30", Master_Orders!J2:J174, "COD")</f>
        <v/>
      </c>
      <c r="D9" s="13">
        <f>C9/B9</f>
        <v/>
      </c>
      <c r="E9" s="11">
        <f>COUNTIFS(Master_Orders!D2:D174, "2026-06-30", Master_Orders!J2:J174, "COD", Master_Orders!K2:K174, "Delivered")</f>
        <v/>
      </c>
      <c r="F9" s="13">
        <f>SUMIFS(Master_Orders!E2:E174, Master_Orders!D2:D174, "2026-06-30", Master_Orders!J2:J174, "COD", Master_Orders!K2:K174, "Delivered")</f>
        <v/>
      </c>
      <c r="G9" s="11">
        <f>COUNTIFS(Master_Orders!D2:D174, "2026-06-30", Master_Orders!J2:J174, "COD", Master_Orders!K2:K174, "RTO / Returned")</f>
        <v/>
      </c>
      <c r="H9" s="13">
        <f>SUMIFS(Master_Orders!E2:E174, Master_Orders!D2:D174, "2026-06-30", Master_Orders!J2:J174, "COD", Master_Orders!K2:K174, "RTO / Returned")</f>
        <v/>
      </c>
      <c r="I9" s="11">
        <f>COUNTIFS(Master_Orders!D2:D174, "2026-06-30", Master_Orders!J2:J174, "COD", Master_Orders!K2:K174, "Canceled")</f>
        <v/>
      </c>
      <c r="J9" s="11">
        <f>COUNTIFS(Master_Orders!D2:D174, "2026-06-30", Master_Orders!J2:J174, "COD", Master_Orders!K2:K174, "In Transit")</f>
        <v/>
      </c>
      <c r="K9" s="12">
        <f>E9/B9</f>
        <v/>
      </c>
    </row>
    <row r="10">
      <c r="A10" s="40" t="inlineStr">
        <is>
          <t>2026-07-01</t>
        </is>
      </c>
      <c r="B10" s="11">
        <f>COUNTIFS(Master_Orders!D2:D174, "2026-07-01", Master_Orders!J2:J174, "COD")</f>
        <v/>
      </c>
      <c r="C10" s="13">
        <f>SUMIFS(Master_Orders!E2:E174, Master_Orders!D2:D174, "2026-07-01", Master_Orders!J2:J174, "COD")</f>
        <v/>
      </c>
      <c r="D10" s="13">
        <f>C10/B10</f>
        <v/>
      </c>
      <c r="E10" s="11">
        <f>COUNTIFS(Master_Orders!D2:D174, "2026-07-01", Master_Orders!J2:J174, "COD", Master_Orders!K2:K174, "Delivered")</f>
        <v/>
      </c>
      <c r="F10" s="13">
        <f>SUMIFS(Master_Orders!E2:E174, Master_Orders!D2:D174, "2026-07-01", Master_Orders!J2:J174, "COD", Master_Orders!K2:K174, "Delivered")</f>
        <v/>
      </c>
      <c r="G10" s="11">
        <f>COUNTIFS(Master_Orders!D2:D174, "2026-07-01", Master_Orders!J2:J174, "COD", Master_Orders!K2:K174, "RTO / Returned")</f>
        <v/>
      </c>
      <c r="H10" s="13">
        <f>SUMIFS(Master_Orders!E2:E174, Master_Orders!D2:D174, "2026-07-01", Master_Orders!J2:J174, "COD", Master_Orders!K2:K174, "RTO / Returned")</f>
        <v/>
      </c>
      <c r="I10" s="11">
        <f>COUNTIFS(Master_Orders!D2:D174, "2026-07-01", Master_Orders!J2:J174, "COD", Master_Orders!K2:K174, "Canceled")</f>
        <v/>
      </c>
      <c r="J10" s="11">
        <f>COUNTIFS(Master_Orders!D2:D174, "2026-07-01", Master_Orders!J2:J174, "COD", Master_Orders!K2:K174, "In Transit")</f>
        <v/>
      </c>
      <c r="K10" s="12">
        <f>E10/B10</f>
        <v/>
      </c>
    </row>
    <row r="11">
      <c r="A11" s="40" t="inlineStr">
        <is>
          <t>2026-07-02</t>
        </is>
      </c>
      <c r="B11" s="11">
        <f>COUNTIFS(Master_Orders!D2:D174, "2026-07-02", Master_Orders!J2:J174, "COD")</f>
        <v/>
      </c>
      <c r="C11" s="13">
        <f>SUMIFS(Master_Orders!E2:E174, Master_Orders!D2:D174, "2026-07-02", Master_Orders!J2:J174, "COD")</f>
        <v/>
      </c>
      <c r="D11" s="13">
        <f>C11/B11</f>
        <v/>
      </c>
      <c r="E11" s="11">
        <f>COUNTIFS(Master_Orders!D2:D174, "2026-07-02", Master_Orders!J2:J174, "COD", Master_Orders!K2:K174, "Delivered")</f>
        <v/>
      </c>
      <c r="F11" s="13">
        <f>SUMIFS(Master_Orders!E2:E174, Master_Orders!D2:D174, "2026-07-02", Master_Orders!J2:J174, "COD", Master_Orders!K2:K174, "Delivered")</f>
        <v/>
      </c>
      <c r="G11" s="11">
        <f>COUNTIFS(Master_Orders!D2:D174, "2026-07-02", Master_Orders!J2:J174, "COD", Master_Orders!K2:K174, "RTO / Returned")</f>
        <v/>
      </c>
      <c r="H11" s="13">
        <f>SUMIFS(Master_Orders!E2:E174, Master_Orders!D2:D174, "2026-07-02", Master_Orders!J2:J174, "COD", Master_Orders!K2:K174, "RTO / Returned")</f>
        <v/>
      </c>
      <c r="I11" s="11">
        <f>COUNTIFS(Master_Orders!D2:D174, "2026-07-02", Master_Orders!J2:J174, "COD", Master_Orders!K2:K174, "Canceled")</f>
        <v/>
      </c>
      <c r="J11" s="11">
        <f>COUNTIFS(Master_Orders!D2:D174, "2026-07-02", Master_Orders!J2:J174, "COD", Master_Orders!K2:K174, "In Transit")</f>
        <v/>
      </c>
      <c r="K11" s="12">
        <f>E11/B11</f>
        <v/>
      </c>
    </row>
    <row r="12">
      <c r="A12" s="40" t="inlineStr">
        <is>
          <t>2026-07-03</t>
        </is>
      </c>
      <c r="B12" s="11">
        <f>COUNTIFS(Master_Orders!D2:D174, "2026-07-03", Master_Orders!J2:J174, "COD")</f>
        <v/>
      </c>
      <c r="C12" s="13">
        <f>SUMIFS(Master_Orders!E2:E174, Master_Orders!D2:D174, "2026-07-03", Master_Orders!J2:J174, "COD")</f>
        <v/>
      </c>
      <c r="D12" s="13">
        <f>C12/B12</f>
        <v/>
      </c>
      <c r="E12" s="11">
        <f>COUNTIFS(Master_Orders!D2:D174, "2026-07-03", Master_Orders!J2:J174, "COD", Master_Orders!K2:K174, "Delivered")</f>
        <v/>
      </c>
      <c r="F12" s="13">
        <f>SUMIFS(Master_Orders!E2:E174, Master_Orders!D2:D174, "2026-07-03", Master_Orders!J2:J174, "COD", Master_Orders!K2:K174, "Delivered")</f>
        <v/>
      </c>
      <c r="G12" s="11">
        <f>COUNTIFS(Master_Orders!D2:D174, "2026-07-03", Master_Orders!J2:J174, "COD", Master_Orders!K2:K174, "RTO / Returned")</f>
        <v/>
      </c>
      <c r="H12" s="13">
        <f>SUMIFS(Master_Orders!E2:E174, Master_Orders!D2:D174, "2026-07-03", Master_Orders!J2:J174, "COD", Master_Orders!K2:K174, "RTO / Returned")</f>
        <v/>
      </c>
      <c r="I12" s="11">
        <f>COUNTIFS(Master_Orders!D2:D174, "2026-07-03", Master_Orders!J2:J174, "COD", Master_Orders!K2:K174, "Canceled")</f>
        <v/>
      </c>
      <c r="J12" s="11">
        <f>COUNTIFS(Master_Orders!D2:D174, "2026-07-03", Master_Orders!J2:J174, "COD", Master_Orders!K2:K174, "In Transit")</f>
        <v/>
      </c>
      <c r="K12" s="12">
        <f>E12/B12</f>
        <v/>
      </c>
    </row>
    <row r="13">
      <c r="A13" s="40" t="inlineStr">
        <is>
          <t>2026-07-04</t>
        </is>
      </c>
      <c r="B13" s="11">
        <f>COUNTIFS(Master_Orders!D2:D174, "2026-07-04", Master_Orders!J2:J174, "COD")</f>
        <v/>
      </c>
      <c r="C13" s="13">
        <f>SUMIFS(Master_Orders!E2:E174, Master_Orders!D2:D174, "2026-07-04", Master_Orders!J2:J174, "COD")</f>
        <v/>
      </c>
      <c r="D13" s="13">
        <f>C13/B13</f>
        <v/>
      </c>
      <c r="E13" s="11">
        <f>COUNTIFS(Master_Orders!D2:D174, "2026-07-04", Master_Orders!J2:J174, "COD", Master_Orders!K2:K174, "Delivered")</f>
        <v/>
      </c>
      <c r="F13" s="13">
        <f>SUMIFS(Master_Orders!E2:E174, Master_Orders!D2:D174, "2026-07-04", Master_Orders!J2:J174, "COD", Master_Orders!K2:K174, "Delivered")</f>
        <v/>
      </c>
      <c r="G13" s="11">
        <f>COUNTIFS(Master_Orders!D2:D174, "2026-07-04", Master_Orders!J2:J174, "COD", Master_Orders!K2:K174, "RTO / Returned")</f>
        <v/>
      </c>
      <c r="H13" s="13">
        <f>SUMIFS(Master_Orders!E2:E174, Master_Orders!D2:D174, "2026-07-04", Master_Orders!J2:J174, "COD", Master_Orders!K2:K174, "RTO / Returned")</f>
        <v/>
      </c>
      <c r="I13" s="11">
        <f>COUNTIFS(Master_Orders!D2:D174, "2026-07-04", Master_Orders!J2:J174, "COD", Master_Orders!K2:K174, "Canceled")</f>
        <v/>
      </c>
      <c r="J13" s="11">
        <f>COUNTIFS(Master_Orders!D2:D174, "2026-07-04", Master_Orders!J2:J174, "COD", Master_Orders!K2:K174, "In Transit")</f>
        <v/>
      </c>
      <c r="K13" s="12">
        <f>E13/B13</f>
        <v/>
      </c>
    </row>
    <row r="14">
      <c r="A14" s="40" t="inlineStr">
        <is>
          <t>2026-07-05</t>
        </is>
      </c>
      <c r="B14" s="11">
        <f>COUNTIFS(Master_Orders!D2:D174, "2026-07-05", Master_Orders!J2:J174, "COD")</f>
        <v/>
      </c>
      <c r="C14" s="13">
        <f>SUMIFS(Master_Orders!E2:E174, Master_Orders!D2:D174, "2026-07-05", Master_Orders!J2:J174, "COD")</f>
        <v/>
      </c>
      <c r="D14" s="13">
        <f>C14/B14</f>
        <v/>
      </c>
      <c r="E14" s="11">
        <f>COUNTIFS(Master_Orders!D2:D174, "2026-07-05", Master_Orders!J2:J174, "COD", Master_Orders!K2:K174, "Delivered")</f>
        <v/>
      </c>
      <c r="F14" s="13">
        <f>SUMIFS(Master_Orders!E2:E174, Master_Orders!D2:D174, "2026-07-05", Master_Orders!J2:J174, "COD", Master_Orders!K2:K174, "Delivered")</f>
        <v/>
      </c>
      <c r="G14" s="11">
        <f>COUNTIFS(Master_Orders!D2:D174, "2026-07-05", Master_Orders!J2:J174, "COD", Master_Orders!K2:K174, "RTO / Returned")</f>
        <v/>
      </c>
      <c r="H14" s="13">
        <f>SUMIFS(Master_Orders!E2:E174, Master_Orders!D2:D174, "2026-07-05", Master_Orders!J2:J174, "COD", Master_Orders!K2:K174, "RTO / Returned")</f>
        <v/>
      </c>
      <c r="I14" s="11">
        <f>COUNTIFS(Master_Orders!D2:D174, "2026-07-05", Master_Orders!J2:J174, "COD", Master_Orders!K2:K174, "Canceled")</f>
        <v/>
      </c>
      <c r="J14" s="11">
        <f>COUNTIFS(Master_Orders!D2:D174, "2026-07-05", Master_Orders!J2:J174, "COD", Master_Orders!K2:K174, "In Transit")</f>
        <v/>
      </c>
      <c r="K14" s="12">
        <f>E14/B14</f>
        <v/>
      </c>
    </row>
    <row r="15">
      <c r="A15" s="40" t="inlineStr">
        <is>
          <t>2026-07-06</t>
        </is>
      </c>
      <c r="B15" s="11">
        <f>COUNTIFS(Master_Orders!D2:D174, "2026-07-06", Master_Orders!J2:J174, "COD")</f>
        <v/>
      </c>
      <c r="C15" s="13">
        <f>SUMIFS(Master_Orders!E2:E174, Master_Orders!D2:D174, "2026-07-06", Master_Orders!J2:J174, "COD")</f>
        <v/>
      </c>
      <c r="D15" s="13">
        <f>C15/B15</f>
        <v/>
      </c>
      <c r="E15" s="11">
        <f>COUNTIFS(Master_Orders!D2:D174, "2026-07-06", Master_Orders!J2:J174, "COD", Master_Orders!K2:K174, "Delivered")</f>
        <v/>
      </c>
      <c r="F15" s="13">
        <f>SUMIFS(Master_Orders!E2:E174, Master_Orders!D2:D174, "2026-07-06", Master_Orders!J2:J174, "COD", Master_Orders!K2:K174, "Delivered")</f>
        <v/>
      </c>
      <c r="G15" s="11">
        <f>COUNTIFS(Master_Orders!D2:D174, "2026-07-06", Master_Orders!J2:J174, "COD", Master_Orders!K2:K174, "RTO / Returned")</f>
        <v/>
      </c>
      <c r="H15" s="13">
        <f>SUMIFS(Master_Orders!E2:E174, Master_Orders!D2:D174, "2026-07-06", Master_Orders!J2:J174, "COD", Master_Orders!K2:K174, "RTO / Returned")</f>
        <v/>
      </c>
      <c r="I15" s="11">
        <f>COUNTIFS(Master_Orders!D2:D174, "2026-07-06", Master_Orders!J2:J174, "COD", Master_Orders!K2:K174, "Canceled")</f>
        <v/>
      </c>
      <c r="J15" s="11">
        <f>COUNTIFS(Master_Orders!D2:D174, "2026-07-06", Master_Orders!J2:J174, "COD", Master_Orders!K2:K174, "In Transit")</f>
        <v/>
      </c>
      <c r="K15" s="12">
        <f>E15/B15</f>
        <v/>
      </c>
    </row>
    <row r="16">
      <c r="A16" s="40" t="inlineStr">
        <is>
          <t>2026-07-07</t>
        </is>
      </c>
      <c r="B16" s="11">
        <f>COUNTIFS(Master_Orders!D2:D174, "2026-07-07", Master_Orders!J2:J174, "COD")</f>
        <v/>
      </c>
      <c r="C16" s="13">
        <f>SUMIFS(Master_Orders!E2:E174, Master_Orders!D2:D174, "2026-07-07", Master_Orders!J2:J174, "COD")</f>
        <v/>
      </c>
      <c r="D16" s="13">
        <f>C16/B16</f>
        <v/>
      </c>
      <c r="E16" s="11">
        <f>COUNTIFS(Master_Orders!D2:D174, "2026-07-07", Master_Orders!J2:J174, "COD", Master_Orders!K2:K174, "Delivered")</f>
        <v/>
      </c>
      <c r="F16" s="13">
        <f>SUMIFS(Master_Orders!E2:E174, Master_Orders!D2:D174, "2026-07-07", Master_Orders!J2:J174, "COD", Master_Orders!K2:K174, "Delivered")</f>
        <v/>
      </c>
      <c r="G16" s="11">
        <f>COUNTIFS(Master_Orders!D2:D174, "2026-07-07", Master_Orders!J2:J174, "COD", Master_Orders!K2:K174, "RTO / Returned")</f>
        <v/>
      </c>
      <c r="H16" s="13">
        <f>SUMIFS(Master_Orders!E2:E174, Master_Orders!D2:D174, "2026-07-07", Master_Orders!J2:J174, "COD", Master_Orders!K2:K174, "RTO / Returned")</f>
        <v/>
      </c>
      <c r="I16" s="11">
        <f>COUNTIFS(Master_Orders!D2:D174, "2026-07-07", Master_Orders!J2:J174, "COD", Master_Orders!K2:K174, "Canceled")</f>
        <v/>
      </c>
      <c r="J16" s="11">
        <f>COUNTIFS(Master_Orders!D2:D174, "2026-07-07", Master_Orders!J2:J174, "COD", Master_Orders!K2:K174, "In Transit")</f>
        <v/>
      </c>
      <c r="K16" s="12">
        <f>E16/B16</f>
        <v/>
      </c>
    </row>
    <row r="17">
      <c r="A17" s="40" t="inlineStr">
        <is>
          <t>2026-07-08</t>
        </is>
      </c>
      <c r="B17" s="11">
        <f>COUNTIFS(Master_Orders!D2:D174, "2026-07-08", Master_Orders!J2:J174, "COD")</f>
        <v/>
      </c>
      <c r="C17" s="13">
        <f>SUMIFS(Master_Orders!E2:E174, Master_Orders!D2:D174, "2026-07-08", Master_Orders!J2:J174, "COD")</f>
        <v/>
      </c>
      <c r="D17" s="13">
        <f>C17/B17</f>
        <v/>
      </c>
      <c r="E17" s="11">
        <f>COUNTIFS(Master_Orders!D2:D174, "2026-07-08", Master_Orders!J2:J174, "COD", Master_Orders!K2:K174, "Delivered")</f>
        <v/>
      </c>
      <c r="F17" s="13">
        <f>SUMIFS(Master_Orders!E2:E174, Master_Orders!D2:D174, "2026-07-08", Master_Orders!J2:J174, "COD", Master_Orders!K2:K174, "Delivered")</f>
        <v/>
      </c>
      <c r="G17" s="11">
        <f>COUNTIFS(Master_Orders!D2:D174, "2026-07-08", Master_Orders!J2:J174, "COD", Master_Orders!K2:K174, "RTO / Returned")</f>
        <v/>
      </c>
      <c r="H17" s="13">
        <f>SUMIFS(Master_Orders!E2:E174, Master_Orders!D2:D174, "2026-07-08", Master_Orders!J2:J174, "COD", Master_Orders!K2:K174, "RTO / Returned")</f>
        <v/>
      </c>
      <c r="I17" s="11">
        <f>COUNTIFS(Master_Orders!D2:D174, "2026-07-08", Master_Orders!J2:J174, "COD", Master_Orders!K2:K174, "Canceled")</f>
        <v/>
      </c>
      <c r="J17" s="11">
        <f>COUNTIFS(Master_Orders!D2:D174, "2026-07-08", Master_Orders!J2:J174, "COD", Master_Orders!K2:K174, "In Transit")</f>
        <v/>
      </c>
      <c r="K17" s="12">
        <f>E17/B17</f>
        <v/>
      </c>
    </row>
    <row r="18">
      <c r="A18" s="40" t="inlineStr">
        <is>
          <t>2026-07-09</t>
        </is>
      </c>
      <c r="B18" s="11">
        <f>COUNTIFS(Master_Orders!D2:D174, "2026-07-09", Master_Orders!J2:J174, "COD")</f>
        <v/>
      </c>
      <c r="C18" s="13">
        <f>SUMIFS(Master_Orders!E2:E174, Master_Orders!D2:D174, "2026-07-09", Master_Orders!J2:J174, "COD")</f>
        <v/>
      </c>
      <c r="D18" s="13">
        <f>C18/B18</f>
        <v/>
      </c>
      <c r="E18" s="11">
        <f>COUNTIFS(Master_Orders!D2:D174, "2026-07-09", Master_Orders!J2:J174, "COD", Master_Orders!K2:K174, "Delivered")</f>
        <v/>
      </c>
      <c r="F18" s="13">
        <f>SUMIFS(Master_Orders!E2:E174, Master_Orders!D2:D174, "2026-07-09", Master_Orders!J2:J174, "COD", Master_Orders!K2:K174, "Delivered")</f>
        <v/>
      </c>
      <c r="G18" s="11">
        <f>COUNTIFS(Master_Orders!D2:D174, "2026-07-09", Master_Orders!J2:J174, "COD", Master_Orders!K2:K174, "RTO / Returned")</f>
        <v/>
      </c>
      <c r="H18" s="13">
        <f>SUMIFS(Master_Orders!E2:E174, Master_Orders!D2:D174, "2026-07-09", Master_Orders!J2:J174, "COD", Master_Orders!K2:K174, "RTO / Returned")</f>
        <v/>
      </c>
      <c r="I18" s="11">
        <f>COUNTIFS(Master_Orders!D2:D174, "2026-07-09", Master_Orders!J2:J174, "COD", Master_Orders!K2:K174, "Canceled")</f>
        <v/>
      </c>
      <c r="J18" s="11">
        <f>COUNTIFS(Master_Orders!D2:D174, "2026-07-09", Master_Orders!J2:J174, "COD", Master_Orders!K2:K174, "In Transit")</f>
        <v/>
      </c>
      <c r="K18" s="12">
        <f>E18/B18</f>
        <v/>
      </c>
    </row>
    <row r="19">
      <c r="A19" s="40" t="inlineStr">
        <is>
          <t>2026-07-10</t>
        </is>
      </c>
      <c r="B19" s="11">
        <f>COUNTIFS(Master_Orders!D2:D174, "2026-07-10", Master_Orders!J2:J174, "COD")</f>
        <v/>
      </c>
      <c r="C19" s="13">
        <f>SUMIFS(Master_Orders!E2:E174, Master_Orders!D2:D174, "2026-07-10", Master_Orders!J2:J174, "COD")</f>
        <v/>
      </c>
      <c r="D19" s="13">
        <f>C19/B19</f>
        <v/>
      </c>
      <c r="E19" s="11">
        <f>COUNTIFS(Master_Orders!D2:D174, "2026-07-10", Master_Orders!J2:J174, "COD", Master_Orders!K2:K174, "Delivered")</f>
        <v/>
      </c>
      <c r="F19" s="13">
        <f>SUMIFS(Master_Orders!E2:E174, Master_Orders!D2:D174, "2026-07-10", Master_Orders!J2:J174, "COD", Master_Orders!K2:K174, "Delivered")</f>
        <v/>
      </c>
      <c r="G19" s="11">
        <f>COUNTIFS(Master_Orders!D2:D174, "2026-07-10", Master_Orders!J2:J174, "COD", Master_Orders!K2:K174, "RTO / Returned")</f>
        <v/>
      </c>
      <c r="H19" s="13">
        <f>SUMIFS(Master_Orders!E2:E174, Master_Orders!D2:D174, "2026-07-10", Master_Orders!J2:J174, "COD", Master_Orders!K2:K174, "RTO / Returned")</f>
        <v/>
      </c>
      <c r="I19" s="11">
        <f>COUNTIFS(Master_Orders!D2:D174, "2026-07-10", Master_Orders!J2:J174, "COD", Master_Orders!K2:K174, "Canceled")</f>
        <v/>
      </c>
      <c r="J19" s="11">
        <f>COUNTIFS(Master_Orders!D2:D174, "2026-07-10", Master_Orders!J2:J174, "COD", Master_Orders!K2:K174, "In Transit")</f>
        <v/>
      </c>
      <c r="K19" s="12">
        <f>E19/B19</f>
        <v/>
      </c>
    </row>
    <row r="20">
      <c r="A20" s="40" t="inlineStr">
        <is>
          <t>2026-07-20</t>
        </is>
      </c>
      <c r="B20" s="11">
        <f>COUNTIFS(Master_Orders!D2:D174, "2026-07-20", Master_Orders!J2:J174, "COD")</f>
        <v/>
      </c>
      <c r="C20" s="13">
        <f>SUMIFS(Master_Orders!E2:E174, Master_Orders!D2:D174, "2026-07-20", Master_Orders!J2:J174, "COD")</f>
        <v/>
      </c>
      <c r="D20" s="13">
        <f>C20/B20</f>
        <v/>
      </c>
      <c r="E20" s="11">
        <f>COUNTIFS(Master_Orders!D2:D174, "2026-07-20", Master_Orders!J2:J174, "COD", Master_Orders!K2:K174, "Delivered")</f>
        <v/>
      </c>
      <c r="F20" s="13">
        <f>SUMIFS(Master_Orders!E2:E174, Master_Orders!D2:D174, "2026-07-20", Master_Orders!J2:J174, "COD", Master_Orders!K2:K174, "Delivered")</f>
        <v/>
      </c>
      <c r="G20" s="11">
        <f>COUNTIFS(Master_Orders!D2:D174, "2026-07-20", Master_Orders!J2:J174, "COD", Master_Orders!K2:K174, "RTO / Returned")</f>
        <v/>
      </c>
      <c r="H20" s="13">
        <f>SUMIFS(Master_Orders!E2:E174, Master_Orders!D2:D174, "2026-07-20", Master_Orders!J2:J174, "COD", Master_Orders!K2:K174, "RTO / Returned")</f>
        <v/>
      </c>
      <c r="I20" s="11">
        <f>COUNTIFS(Master_Orders!D2:D174, "2026-07-20", Master_Orders!J2:J174, "COD", Master_Orders!K2:K174, "Canceled")</f>
        <v/>
      </c>
      <c r="J20" s="11">
        <f>COUNTIFS(Master_Orders!D2:D174, "2026-07-20", Master_Orders!J2:J174, "COD", Master_Orders!K2:K174, "In Transit")</f>
        <v/>
      </c>
      <c r="K20" s="12">
        <f>E20/B20</f>
        <v/>
      </c>
    </row>
    <row r="21">
      <c r="A21" s="22" t="inlineStr">
        <is>
          <t>Total COD Summary</t>
        </is>
      </c>
      <c r="B21" s="38">
        <f>SUM(B4:B20)</f>
        <v/>
      </c>
      <c r="C21" s="39">
        <f>SUM(C4:C20)</f>
        <v/>
      </c>
      <c r="D21" s="39">
        <f>C21/B21</f>
        <v/>
      </c>
      <c r="E21" s="38">
        <f>SUM(E4:E20)</f>
        <v/>
      </c>
      <c r="F21" s="39">
        <f>SUM(F4:F20)</f>
        <v/>
      </c>
      <c r="G21" s="38">
        <f>SUM(G4:G20)</f>
        <v/>
      </c>
      <c r="H21" s="39">
        <f>SUM(H4:H20)</f>
        <v/>
      </c>
      <c r="I21" s="38">
        <f>SUM(I4:I20)</f>
        <v/>
      </c>
      <c r="J21" s="38">
        <f>SUM(J4:J20)</f>
        <v/>
      </c>
      <c r="K21" s="41">
        <f>E21/B21</f>
        <v/>
      </c>
    </row>
  </sheetData>
  <mergeCells count="1"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7" customWidth="1" min="2" max="2"/>
    <col width="108" customWidth="1" min="3" max="3"/>
    <col width="14" customWidth="1" min="4" max="4"/>
    <col width="123" customWidth="1" min="5" max="5"/>
    <col width="144" customWidth="1" min="6" max="6"/>
    <col width="128" customWidth="1" min="7" max="7"/>
    <col width="149" customWidth="1" min="8" max="8"/>
    <col width="122" customWidth="1" min="9" max="9"/>
    <col width="124" customWidth="1" min="10" max="10"/>
    <col width="21" customWidth="1" min="11" max="11"/>
  </cols>
  <sheetData>
    <row r="1">
      <c r="A1" s="1" t="inlineStr">
        <is>
          <t>JANVI AIKA - INDIVIDUAL DAYWISE REPORT: PARTIAL COD</t>
        </is>
      </c>
    </row>
    <row r="2"/>
    <row r="3">
      <c r="A3" s="26" t="inlineStr">
        <is>
          <t>Order Date</t>
        </is>
      </c>
      <c r="B3" s="26" t="inlineStr">
        <is>
          <t>Partial COD Orders</t>
        </is>
      </c>
      <c r="C3" s="26" t="inlineStr">
        <is>
          <t>Partial COD Revenue (Rs.)</t>
        </is>
      </c>
      <c r="D3" s="26" t="inlineStr">
        <is>
          <t>AOV (Rs.)</t>
        </is>
      </c>
      <c r="E3" s="26" t="inlineStr">
        <is>
          <t>Delivered Count</t>
        </is>
      </c>
      <c r="F3" s="26" t="inlineStr">
        <is>
          <t>Delivered Rev (Rs.)</t>
        </is>
      </c>
      <c r="G3" s="26" t="inlineStr">
        <is>
          <t>RTO Count</t>
        </is>
      </c>
      <c r="H3" s="26" t="inlineStr">
        <is>
          <t>RTO Rev Loss (Rs.)</t>
        </is>
      </c>
      <c r="I3" s="26" t="inlineStr">
        <is>
          <t>Canceled Count</t>
        </is>
      </c>
      <c r="J3" s="26" t="inlineStr">
        <is>
          <t>In Transit Count</t>
        </is>
      </c>
      <c r="K3" s="26" t="inlineStr">
        <is>
          <t>Realization Rate %</t>
        </is>
      </c>
    </row>
    <row r="4">
      <c r="A4" s="42" t="inlineStr">
        <is>
          <t>2026-07-24</t>
        </is>
      </c>
      <c r="B4" s="15">
        <f>COUNTIFS(Master_Orders!D2:D174, "2026-07-24", Master_Orders!J2:J174, "Partial COD")</f>
        <v/>
      </c>
      <c r="C4" s="17">
        <f>SUMIFS(Master_Orders!E2:E174, Master_Orders!D2:D174, "2026-07-24", Master_Orders!J2:J174, "Partial COD")</f>
        <v/>
      </c>
      <c r="D4" s="17">
        <f>C4/B4</f>
        <v/>
      </c>
      <c r="E4" s="15">
        <f>COUNTIFS(Master_Orders!D2:D174, "2026-07-24", Master_Orders!J2:J174, "Partial COD", Master_Orders!K2:K174, "Delivered")</f>
        <v/>
      </c>
      <c r="F4" s="17">
        <f>SUMIFS(Master_Orders!E2:E174, Master_Orders!D2:D174, "2026-07-24", Master_Orders!J2:J174, "Partial COD", Master_Orders!K2:K174, "Delivered")</f>
        <v/>
      </c>
      <c r="G4" s="15">
        <f>COUNTIFS(Master_Orders!D2:D174, "2026-07-24", Master_Orders!J2:J174, "Partial COD", Master_Orders!K2:K174, "RTO / Returned")</f>
        <v/>
      </c>
      <c r="H4" s="17">
        <f>SUMIFS(Master_Orders!E2:E174, Master_Orders!D2:D174, "2026-07-24", Master_Orders!J2:J174, "Partial COD", Master_Orders!K2:K174, "RTO / Returned")</f>
        <v/>
      </c>
      <c r="I4" s="15">
        <f>COUNTIFS(Master_Orders!D2:D174, "2026-07-24", Master_Orders!J2:J174, "Partial COD", Master_Orders!K2:K174, "Canceled")</f>
        <v/>
      </c>
      <c r="J4" s="15">
        <f>COUNTIFS(Master_Orders!D2:D174, "2026-07-24", Master_Orders!J2:J174, "Partial COD", Master_Orders!K2:K174, "In Transit")</f>
        <v/>
      </c>
      <c r="K4" s="16">
        <f>E4/B4</f>
        <v/>
      </c>
    </row>
    <row r="5">
      <c r="A5" s="42" t="inlineStr">
        <is>
          <t>2026-07-26</t>
        </is>
      </c>
      <c r="B5" s="15">
        <f>COUNTIFS(Master_Orders!D2:D174, "2026-07-26", Master_Orders!J2:J174, "Partial COD")</f>
        <v/>
      </c>
      <c r="C5" s="17">
        <f>SUMIFS(Master_Orders!E2:E174, Master_Orders!D2:D174, "2026-07-26", Master_Orders!J2:J174, "Partial COD")</f>
        <v/>
      </c>
      <c r="D5" s="17">
        <f>C5/B5</f>
        <v/>
      </c>
      <c r="E5" s="15">
        <f>COUNTIFS(Master_Orders!D2:D174, "2026-07-26", Master_Orders!J2:J174, "Partial COD", Master_Orders!K2:K174, "Delivered")</f>
        <v/>
      </c>
      <c r="F5" s="17">
        <f>SUMIFS(Master_Orders!E2:E174, Master_Orders!D2:D174, "2026-07-26", Master_Orders!J2:J174, "Partial COD", Master_Orders!K2:K174, "Delivered")</f>
        <v/>
      </c>
      <c r="G5" s="15">
        <f>COUNTIFS(Master_Orders!D2:D174, "2026-07-26", Master_Orders!J2:J174, "Partial COD", Master_Orders!K2:K174, "RTO / Returned")</f>
        <v/>
      </c>
      <c r="H5" s="17">
        <f>SUMIFS(Master_Orders!E2:E174, Master_Orders!D2:D174, "2026-07-26", Master_Orders!J2:J174, "Partial COD", Master_Orders!K2:K174, "RTO / Returned")</f>
        <v/>
      </c>
      <c r="I5" s="15">
        <f>COUNTIFS(Master_Orders!D2:D174, "2026-07-26", Master_Orders!J2:J174, "Partial COD", Master_Orders!K2:K174, "Canceled")</f>
        <v/>
      </c>
      <c r="J5" s="15">
        <f>COUNTIFS(Master_Orders!D2:D174, "2026-07-26", Master_Orders!J2:J174, "Partial COD", Master_Orders!K2:K174, "In Transit")</f>
        <v/>
      </c>
      <c r="K5" s="16">
        <f>E5/B5</f>
        <v/>
      </c>
    </row>
    <row r="6">
      <c r="A6" s="42" t="inlineStr">
        <is>
          <t>2026-07-27</t>
        </is>
      </c>
      <c r="B6" s="15">
        <f>COUNTIFS(Master_Orders!D2:D174, "2026-07-27", Master_Orders!J2:J174, "Partial COD")</f>
        <v/>
      </c>
      <c r="C6" s="17">
        <f>SUMIFS(Master_Orders!E2:E174, Master_Orders!D2:D174, "2026-07-27", Master_Orders!J2:J174, "Partial COD")</f>
        <v/>
      </c>
      <c r="D6" s="17">
        <f>C6/B6</f>
        <v/>
      </c>
      <c r="E6" s="15">
        <f>COUNTIFS(Master_Orders!D2:D174, "2026-07-27", Master_Orders!J2:J174, "Partial COD", Master_Orders!K2:K174, "Delivered")</f>
        <v/>
      </c>
      <c r="F6" s="17">
        <f>SUMIFS(Master_Orders!E2:E174, Master_Orders!D2:D174, "2026-07-27", Master_Orders!J2:J174, "Partial COD", Master_Orders!K2:K174, "Delivered")</f>
        <v/>
      </c>
      <c r="G6" s="15">
        <f>COUNTIFS(Master_Orders!D2:D174, "2026-07-27", Master_Orders!J2:J174, "Partial COD", Master_Orders!K2:K174, "RTO / Returned")</f>
        <v/>
      </c>
      <c r="H6" s="17">
        <f>SUMIFS(Master_Orders!E2:E174, Master_Orders!D2:D174, "2026-07-27", Master_Orders!J2:J174, "Partial COD", Master_Orders!K2:K174, "RTO / Returned")</f>
        <v/>
      </c>
      <c r="I6" s="15">
        <f>COUNTIFS(Master_Orders!D2:D174, "2026-07-27", Master_Orders!J2:J174, "Partial COD", Master_Orders!K2:K174, "Canceled")</f>
        <v/>
      </c>
      <c r="J6" s="15">
        <f>COUNTIFS(Master_Orders!D2:D174, "2026-07-27", Master_Orders!J2:J174, "Partial COD", Master_Orders!K2:K174, "In Transit")</f>
        <v/>
      </c>
      <c r="K6" s="16">
        <f>E6/B6</f>
        <v/>
      </c>
    </row>
    <row r="7">
      <c r="A7" s="42" t="inlineStr">
        <is>
          <t>2026-07-28</t>
        </is>
      </c>
      <c r="B7" s="15">
        <f>COUNTIFS(Master_Orders!D2:D174, "2026-07-28", Master_Orders!J2:J174, "Partial COD")</f>
        <v/>
      </c>
      <c r="C7" s="17">
        <f>SUMIFS(Master_Orders!E2:E174, Master_Orders!D2:D174, "2026-07-28", Master_Orders!J2:J174, "Partial COD")</f>
        <v/>
      </c>
      <c r="D7" s="17">
        <f>C7/B7</f>
        <v/>
      </c>
      <c r="E7" s="15">
        <f>COUNTIFS(Master_Orders!D2:D174, "2026-07-28", Master_Orders!J2:J174, "Partial COD", Master_Orders!K2:K174, "Delivered")</f>
        <v/>
      </c>
      <c r="F7" s="17">
        <f>SUMIFS(Master_Orders!E2:E174, Master_Orders!D2:D174, "2026-07-28", Master_Orders!J2:J174, "Partial COD", Master_Orders!K2:K174, "Delivered")</f>
        <v/>
      </c>
      <c r="G7" s="15">
        <f>COUNTIFS(Master_Orders!D2:D174, "2026-07-28", Master_Orders!J2:J174, "Partial COD", Master_Orders!K2:K174, "RTO / Returned")</f>
        <v/>
      </c>
      <c r="H7" s="17">
        <f>SUMIFS(Master_Orders!E2:E174, Master_Orders!D2:D174, "2026-07-28", Master_Orders!J2:J174, "Partial COD", Master_Orders!K2:K174, "RTO / Returned")</f>
        <v/>
      </c>
      <c r="I7" s="15">
        <f>COUNTIFS(Master_Orders!D2:D174, "2026-07-28", Master_Orders!J2:J174, "Partial COD", Master_Orders!K2:K174, "Canceled")</f>
        <v/>
      </c>
      <c r="J7" s="15">
        <f>COUNTIFS(Master_Orders!D2:D174, "2026-07-28", Master_Orders!J2:J174, "Partial COD", Master_Orders!K2:K174, "In Transit")</f>
        <v/>
      </c>
      <c r="K7" s="16">
        <f>E7/B7</f>
        <v/>
      </c>
    </row>
    <row r="8">
      <c r="A8" s="42" t="inlineStr">
        <is>
          <t>2026-07-29</t>
        </is>
      </c>
      <c r="B8" s="15">
        <f>COUNTIFS(Master_Orders!D2:D174, "2026-07-29", Master_Orders!J2:J174, "Partial COD")</f>
        <v/>
      </c>
      <c r="C8" s="17">
        <f>SUMIFS(Master_Orders!E2:E174, Master_Orders!D2:D174, "2026-07-29", Master_Orders!J2:J174, "Partial COD")</f>
        <v/>
      </c>
      <c r="D8" s="17">
        <f>C8/B8</f>
        <v/>
      </c>
      <c r="E8" s="15">
        <f>COUNTIFS(Master_Orders!D2:D174, "2026-07-29", Master_Orders!J2:J174, "Partial COD", Master_Orders!K2:K174, "Delivered")</f>
        <v/>
      </c>
      <c r="F8" s="17">
        <f>SUMIFS(Master_Orders!E2:E174, Master_Orders!D2:D174, "2026-07-29", Master_Orders!J2:J174, "Partial COD", Master_Orders!K2:K174, "Delivered")</f>
        <v/>
      </c>
      <c r="G8" s="15">
        <f>COUNTIFS(Master_Orders!D2:D174, "2026-07-29", Master_Orders!J2:J174, "Partial COD", Master_Orders!K2:K174, "RTO / Returned")</f>
        <v/>
      </c>
      <c r="H8" s="17">
        <f>SUMIFS(Master_Orders!E2:E174, Master_Orders!D2:D174, "2026-07-29", Master_Orders!J2:J174, "Partial COD", Master_Orders!K2:K174, "RTO / Returned")</f>
        <v/>
      </c>
      <c r="I8" s="15">
        <f>COUNTIFS(Master_Orders!D2:D174, "2026-07-29", Master_Orders!J2:J174, "Partial COD", Master_Orders!K2:K174, "Canceled")</f>
        <v/>
      </c>
      <c r="J8" s="15">
        <f>COUNTIFS(Master_Orders!D2:D174, "2026-07-29", Master_Orders!J2:J174, "Partial COD", Master_Orders!K2:K174, "In Transit")</f>
        <v/>
      </c>
      <c r="K8" s="16">
        <f>E8/B8</f>
        <v/>
      </c>
    </row>
    <row r="9">
      <c r="A9" s="42" t="inlineStr">
        <is>
          <t>2026-07-30</t>
        </is>
      </c>
      <c r="B9" s="15">
        <f>COUNTIFS(Master_Orders!D2:D174, "2026-07-30", Master_Orders!J2:J174, "Partial COD")</f>
        <v/>
      </c>
      <c r="C9" s="17">
        <f>SUMIFS(Master_Orders!E2:E174, Master_Orders!D2:D174, "2026-07-30", Master_Orders!J2:J174, "Partial COD")</f>
        <v/>
      </c>
      <c r="D9" s="17">
        <f>C9/B9</f>
        <v/>
      </c>
      <c r="E9" s="15">
        <f>COUNTIFS(Master_Orders!D2:D174, "2026-07-30", Master_Orders!J2:J174, "Partial COD", Master_Orders!K2:K174, "Delivered")</f>
        <v/>
      </c>
      <c r="F9" s="17">
        <f>SUMIFS(Master_Orders!E2:E174, Master_Orders!D2:D174, "2026-07-30", Master_Orders!J2:J174, "Partial COD", Master_Orders!K2:K174, "Delivered")</f>
        <v/>
      </c>
      <c r="G9" s="15">
        <f>COUNTIFS(Master_Orders!D2:D174, "2026-07-30", Master_Orders!J2:J174, "Partial COD", Master_Orders!K2:K174, "RTO / Returned")</f>
        <v/>
      </c>
      <c r="H9" s="17">
        <f>SUMIFS(Master_Orders!E2:E174, Master_Orders!D2:D174, "2026-07-30", Master_Orders!J2:J174, "Partial COD", Master_Orders!K2:K174, "RTO / Returned")</f>
        <v/>
      </c>
      <c r="I9" s="15">
        <f>COUNTIFS(Master_Orders!D2:D174, "2026-07-30", Master_Orders!J2:J174, "Partial COD", Master_Orders!K2:K174, "Canceled")</f>
        <v/>
      </c>
      <c r="J9" s="15">
        <f>COUNTIFS(Master_Orders!D2:D174, "2026-07-30", Master_Orders!J2:J174, "Partial COD", Master_Orders!K2:K174, "In Transit")</f>
        <v/>
      </c>
      <c r="K9" s="16">
        <f>E9/B9</f>
        <v/>
      </c>
    </row>
    <row r="10">
      <c r="A10" s="22" t="inlineStr">
        <is>
          <t>Total Partial COD Summary</t>
        </is>
      </c>
      <c r="B10" s="38">
        <f>SUM(B4:B9)</f>
        <v/>
      </c>
      <c r="C10" s="39">
        <f>SUM(C4:C9)</f>
        <v/>
      </c>
      <c r="D10" s="39">
        <f>C10/B10</f>
        <v/>
      </c>
      <c r="E10" s="38">
        <f>SUM(E4:E9)</f>
        <v/>
      </c>
      <c r="F10" s="39">
        <f>SUM(F4:F9)</f>
        <v/>
      </c>
      <c r="G10" s="38">
        <f>SUM(G4:G9)</f>
        <v/>
      </c>
      <c r="H10" s="39">
        <f>SUM(H4:H9)</f>
        <v/>
      </c>
      <c r="I10" s="38">
        <f>SUM(I4:I9)</f>
        <v/>
      </c>
      <c r="J10" s="38">
        <f>SUM(J4:J9)</f>
        <v/>
      </c>
      <c r="K10" s="41">
        <f>E10/B10</f>
        <v/>
      </c>
    </row>
  </sheetData>
  <mergeCells count="1">
    <mergeCell ref="A1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3" customWidth="1" min="2" max="2"/>
    <col width="104" customWidth="1" min="3" max="3"/>
    <col width="14" customWidth="1" min="4" max="4"/>
    <col width="119" customWidth="1" min="5" max="5"/>
    <col width="140" customWidth="1" min="6" max="6"/>
    <col width="124" customWidth="1" min="7" max="7"/>
    <col width="145" customWidth="1" min="8" max="8"/>
    <col width="118" customWidth="1" min="9" max="9"/>
    <col width="120" customWidth="1" min="10" max="10"/>
    <col width="21" customWidth="1" min="11" max="11"/>
  </cols>
  <sheetData>
    <row r="1">
      <c r="A1" s="1" t="inlineStr">
        <is>
          <t>JANVI AIKA - INDIVIDUAL DAYWISE REPORT: PREPAID (RAZORPAY/UPI)</t>
        </is>
      </c>
    </row>
    <row r="2"/>
    <row r="3">
      <c r="A3" s="26" t="inlineStr">
        <is>
          <t>Order Date</t>
        </is>
      </c>
      <c r="B3" s="26" t="inlineStr">
        <is>
          <t>Prepaid Orders</t>
        </is>
      </c>
      <c r="C3" s="26" t="inlineStr">
        <is>
          <t>Prepaid Revenue (Rs.)</t>
        </is>
      </c>
      <c r="D3" s="26" t="inlineStr">
        <is>
          <t>AOV (Rs.)</t>
        </is>
      </c>
      <c r="E3" s="26" t="inlineStr">
        <is>
          <t>Delivered Count</t>
        </is>
      </c>
      <c r="F3" s="26" t="inlineStr">
        <is>
          <t>Delivered Rev (Rs.)</t>
        </is>
      </c>
      <c r="G3" s="26" t="inlineStr">
        <is>
          <t>RTO Count</t>
        </is>
      </c>
      <c r="H3" s="26" t="inlineStr">
        <is>
          <t>RTO Rev Loss (Rs.)</t>
        </is>
      </c>
      <c r="I3" s="26" t="inlineStr">
        <is>
          <t>Canceled Count</t>
        </is>
      </c>
      <c r="J3" s="26" t="inlineStr">
        <is>
          <t>In Transit Count</t>
        </is>
      </c>
      <c r="K3" s="26" t="inlineStr">
        <is>
          <t>Realization Rate %</t>
        </is>
      </c>
    </row>
    <row r="4">
      <c r="A4" s="43" t="inlineStr">
        <is>
          <t>2026-06-22</t>
        </is>
      </c>
      <c r="B4" s="19">
        <f>COUNTIFS(Master_Orders!D2:D174, "2026-06-22", Master_Orders!J2:J174, "Prepaid")</f>
        <v/>
      </c>
      <c r="C4" s="21">
        <f>SUMIFS(Master_Orders!E2:E174, Master_Orders!D2:D174, "2026-06-22", Master_Orders!J2:J174, "Prepaid")</f>
        <v/>
      </c>
      <c r="D4" s="21">
        <f>C4/B4</f>
        <v/>
      </c>
      <c r="E4" s="19">
        <f>COUNTIFS(Master_Orders!D2:D174, "2026-06-22", Master_Orders!J2:J174, "Prepaid", Master_Orders!K2:K174, "Delivered")</f>
        <v/>
      </c>
      <c r="F4" s="21">
        <f>SUMIFS(Master_Orders!E2:E174, Master_Orders!D2:D174, "2026-06-22", Master_Orders!J2:J174, "Prepaid", Master_Orders!K2:K174, "Delivered")</f>
        <v/>
      </c>
      <c r="G4" s="19">
        <f>COUNTIFS(Master_Orders!D2:D174, "2026-06-22", Master_Orders!J2:J174, "Prepaid", Master_Orders!K2:K174, "RTO / Returned")</f>
        <v/>
      </c>
      <c r="H4" s="21">
        <f>SUMIFS(Master_Orders!E2:E174, Master_Orders!D2:D174, "2026-06-22", Master_Orders!J2:J174, "Prepaid", Master_Orders!K2:K174, "RTO / Returned")</f>
        <v/>
      </c>
      <c r="I4" s="19">
        <f>COUNTIFS(Master_Orders!D2:D174, "2026-06-22", Master_Orders!J2:J174, "Prepaid", Master_Orders!K2:K174, "Canceled")</f>
        <v/>
      </c>
      <c r="J4" s="19">
        <f>COUNTIFS(Master_Orders!D2:D174, "2026-06-22", Master_Orders!J2:J174, "Prepaid", Master_Orders!K2:K174, "In Transit")</f>
        <v/>
      </c>
      <c r="K4" s="20">
        <f>E4/B4</f>
        <v/>
      </c>
    </row>
    <row r="5">
      <c r="A5" s="43" t="inlineStr">
        <is>
          <t>2026-06-24</t>
        </is>
      </c>
      <c r="B5" s="19">
        <f>COUNTIFS(Master_Orders!D2:D174, "2026-06-24", Master_Orders!J2:J174, "Prepaid")</f>
        <v/>
      </c>
      <c r="C5" s="21">
        <f>SUMIFS(Master_Orders!E2:E174, Master_Orders!D2:D174, "2026-06-24", Master_Orders!J2:J174, "Prepaid")</f>
        <v/>
      </c>
      <c r="D5" s="21">
        <f>C5/B5</f>
        <v/>
      </c>
      <c r="E5" s="19">
        <f>COUNTIFS(Master_Orders!D2:D174, "2026-06-24", Master_Orders!J2:J174, "Prepaid", Master_Orders!K2:K174, "Delivered")</f>
        <v/>
      </c>
      <c r="F5" s="21">
        <f>SUMIFS(Master_Orders!E2:E174, Master_Orders!D2:D174, "2026-06-24", Master_Orders!J2:J174, "Prepaid", Master_Orders!K2:K174, "Delivered")</f>
        <v/>
      </c>
      <c r="G5" s="19">
        <f>COUNTIFS(Master_Orders!D2:D174, "2026-06-24", Master_Orders!J2:J174, "Prepaid", Master_Orders!K2:K174, "RTO / Returned")</f>
        <v/>
      </c>
      <c r="H5" s="21">
        <f>SUMIFS(Master_Orders!E2:E174, Master_Orders!D2:D174, "2026-06-24", Master_Orders!J2:J174, "Prepaid", Master_Orders!K2:K174, "RTO / Returned")</f>
        <v/>
      </c>
      <c r="I5" s="19">
        <f>COUNTIFS(Master_Orders!D2:D174, "2026-06-24", Master_Orders!J2:J174, "Prepaid", Master_Orders!K2:K174, "Canceled")</f>
        <v/>
      </c>
      <c r="J5" s="19">
        <f>COUNTIFS(Master_Orders!D2:D174, "2026-06-24", Master_Orders!J2:J174, "Prepaid", Master_Orders!K2:K174, "In Transit")</f>
        <v/>
      </c>
      <c r="K5" s="20">
        <f>E5/B5</f>
        <v/>
      </c>
    </row>
    <row r="6">
      <c r="A6" s="43" t="inlineStr">
        <is>
          <t>2026-06-25</t>
        </is>
      </c>
      <c r="B6" s="19">
        <f>COUNTIFS(Master_Orders!D2:D174, "2026-06-25", Master_Orders!J2:J174, "Prepaid")</f>
        <v/>
      </c>
      <c r="C6" s="21">
        <f>SUMIFS(Master_Orders!E2:E174, Master_Orders!D2:D174, "2026-06-25", Master_Orders!J2:J174, "Prepaid")</f>
        <v/>
      </c>
      <c r="D6" s="21">
        <f>C6/B6</f>
        <v/>
      </c>
      <c r="E6" s="19">
        <f>COUNTIFS(Master_Orders!D2:D174, "2026-06-25", Master_Orders!J2:J174, "Prepaid", Master_Orders!K2:K174, "Delivered")</f>
        <v/>
      </c>
      <c r="F6" s="21">
        <f>SUMIFS(Master_Orders!E2:E174, Master_Orders!D2:D174, "2026-06-25", Master_Orders!J2:J174, "Prepaid", Master_Orders!K2:K174, "Delivered")</f>
        <v/>
      </c>
      <c r="G6" s="19">
        <f>COUNTIFS(Master_Orders!D2:D174, "2026-06-25", Master_Orders!J2:J174, "Prepaid", Master_Orders!K2:K174, "RTO / Returned")</f>
        <v/>
      </c>
      <c r="H6" s="21">
        <f>SUMIFS(Master_Orders!E2:E174, Master_Orders!D2:D174, "2026-06-25", Master_Orders!J2:J174, "Prepaid", Master_Orders!K2:K174, "RTO / Returned")</f>
        <v/>
      </c>
      <c r="I6" s="19">
        <f>COUNTIFS(Master_Orders!D2:D174, "2026-06-25", Master_Orders!J2:J174, "Prepaid", Master_Orders!K2:K174, "Canceled")</f>
        <v/>
      </c>
      <c r="J6" s="19">
        <f>COUNTIFS(Master_Orders!D2:D174, "2026-06-25", Master_Orders!J2:J174, "Prepaid", Master_Orders!K2:K174, "In Transit")</f>
        <v/>
      </c>
      <c r="K6" s="20">
        <f>E6/B6</f>
        <v/>
      </c>
    </row>
    <row r="7">
      <c r="A7" s="43" t="inlineStr">
        <is>
          <t>2026-06-27</t>
        </is>
      </c>
      <c r="B7" s="19">
        <f>COUNTIFS(Master_Orders!D2:D174, "2026-06-27", Master_Orders!J2:J174, "Prepaid")</f>
        <v/>
      </c>
      <c r="C7" s="21">
        <f>SUMIFS(Master_Orders!E2:E174, Master_Orders!D2:D174, "2026-06-27", Master_Orders!J2:J174, "Prepaid")</f>
        <v/>
      </c>
      <c r="D7" s="21">
        <f>C7/B7</f>
        <v/>
      </c>
      <c r="E7" s="19">
        <f>COUNTIFS(Master_Orders!D2:D174, "2026-06-27", Master_Orders!J2:J174, "Prepaid", Master_Orders!K2:K174, "Delivered")</f>
        <v/>
      </c>
      <c r="F7" s="21">
        <f>SUMIFS(Master_Orders!E2:E174, Master_Orders!D2:D174, "2026-06-27", Master_Orders!J2:J174, "Prepaid", Master_Orders!K2:K174, "Delivered")</f>
        <v/>
      </c>
      <c r="G7" s="19">
        <f>COUNTIFS(Master_Orders!D2:D174, "2026-06-27", Master_Orders!J2:J174, "Prepaid", Master_Orders!K2:K174, "RTO / Returned")</f>
        <v/>
      </c>
      <c r="H7" s="21">
        <f>SUMIFS(Master_Orders!E2:E174, Master_Orders!D2:D174, "2026-06-27", Master_Orders!J2:J174, "Prepaid", Master_Orders!K2:K174, "RTO / Returned")</f>
        <v/>
      </c>
      <c r="I7" s="19">
        <f>COUNTIFS(Master_Orders!D2:D174, "2026-06-27", Master_Orders!J2:J174, "Prepaid", Master_Orders!K2:K174, "Canceled")</f>
        <v/>
      </c>
      <c r="J7" s="19">
        <f>COUNTIFS(Master_Orders!D2:D174, "2026-06-27", Master_Orders!J2:J174, "Prepaid", Master_Orders!K2:K174, "In Transit")</f>
        <v/>
      </c>
      <c r="K7" s="20">
        <f>E7/B7</f>
        <v/>
      </c>
    </row>
    <row r="8">
      <c r="A8" s="43" t="inlineStr">
        <is>
          <t>2026-06-29</t>
        </is>
      </c>
      <c r="B8" s="19">
        <f>COUNTIFS(Master_Orders!D2:D174, "2026-06-29", Master_Orders!J2:J174, "Prepaid")</f>
        <v/>
      </c>
      <c r="C8" s="21">
        <f>SUMIFS(Master_Orders!E2:E174, Master_Orders!D2:D174, "2026-06-29", Master_Orders!J2:J174, "Prepaid")</f>
        <v/>
      </c>
      <c r="D8" s="21">
        <f>C8/B8</f>
        <v/>
      </c>
      <c r="E8" s="19">
        <f>COUNTIFS(Master_Orders!D2:D174, "2026-06-29", Master_Orders!J2:J174, "Prepaid", Master_Orders!K2:K174, "Delivered")</f>
        <v/>
      </c>
      <c r="F8" s="21">
        <f>SUMIFS(Master_Orders!E2:E174, Master_Orders!D2:D174, "2026-06-29", Master_Orders!J2:J174, "Prepaid", Master_Orders!K2:K174, "Delivered")</f>
        <v/>
      </c>
      <c r="G8" s="19">
        <f>COUNTIFS(Master_Orders!D2:D174, "2026-06-29", Master_Orders!J2:J174, "Prepaid", Master_Orders!K2:K174, "RTO / Returned")</f>
        <v/>
      </c>
      <c r="H8" s="21">
        <f>SUMIFS(Master_Orders!E2:E174, Master_Orders!D2:D174, "2026-06-29", Master_Orders!J2:J174, "Prepaid", Master_Orders!K2:K174, "RTO / Returned")</f>
        <v/>
      </c>
      <c r="I8" s="19">
        <f>COUNTIFS(Master_Orders!D2:D174, "2026-06-29", Master_Orders!J2:J174, "Prepaid", Master_Orders!K2:K174, "Canceled")</f>
        <v/>
      </c>
      <c r="J8" s="19">
        <f>COUNTIFS(Master_Orders!D2:D174, "2026-06-29", Master_Orders!J2:J174, "Prepaid", Master_Orders!K2:K174, "In Transit")</f>
        <v/>
      </c>
      <c r="K8" s="20">
        <f>E8/B8</f>
        <v/>
      </c>
    </row>
    <row r="9">
      <c r="A9" s="43" t="inlineStr">
        <is>
          <t>2026-06-30</t>
        </is>
      </c>
      <c r="B9" s="19">
        <f>COUNTIFS(Master_Orders!D2:D174, "2026-06-30", Master_Orders!J2:J174, "Prepaid")</f>
        <v/>
      </c>
      <c r="C9" s="21">
        <f>SUMIFS(Master_Orders!E2:E174, Master_Orders!D2:D174, "2026-06-30", Master_Orders!J2:J174, "Prepaid")</f>
        <v/>
      </c>
      <c r="D9" s="21">
        <f>C9/B9</f>
        <v/>
      </c>
      <c r="E9" s="19">
        <f>COUNTIFS(Master_Orders!D2:D174, "2026-06-30", Master_Orders!J2:J174, "Prepaid", Master_Orders!K2:K174, "Delivered")</f>
        <v/>
      </c>
      <c r="F9" s="21">
        <f>SUMIFS(Master_Orders!E2:E174, Master_Orders!D2:D174, "2026-06-30", Master_Orders!J2:J174, "Prepaid", Master_Orders!K2:K174, "Delivered")</f>
        <v/>
      </c>
      <c r="G9" s="19">
        <f>COUNTIFS(Master_Orders!D2:D174, "2026-06-30", Master_Orders!J2:J174, "Prepaid", Master_Orders!K2:K174, "RTO / Returned")</f>
        <v/>
      </c>
      <c r="H9" s="21">
        <f>SUMIFS(Master_Orders!E2:E174, Master_Orders!D2:D174, "2026-06-30", Master_Orders!J2:J174, "Prepaid", Master_Orders!K2:K174, "RTO / Returned")</f>
        <v/>
      </c>
      <c r="I9" s="19">
        <f>COUNTIFS(Master_Orders!D2:D174, "2026-06-30", Master_Orders!J2:J174, "Prepaid", Master_Orders!K2:K174, "Canceled")</f>
        <v/>
      </c>
      <c r="J9" s="19">
        <f>COUNTIFS(Master_Orders!D2:D174, "2026-06-30", Master_Orders!J2:J174, "Prepaid", Master_Orders!K2:K174, "In Transit")</f>
        <v/>
      </c>
      <c r="K9" s="20">
        <f>E9/B9</f>
        <v/>
      </c>
    </row>
    <row r="10">
      <c r="A10" s="43" t="inlineStr">
        <is>
          <t>2026-07-01</t>
        </is>
      </c>
      <c r="B10" s="19">
        <f>COUNTIFS(Master_Orders!D2:D174, "2026-07-01", Master_Orders!J2:J174, "Prepaid")</f>
        <v/>
      </c>
      <c r="C10" s="21">
        <f>SUMIFS(Master_Orders!E2:E174, Master_Orders!D2:D174, "2026-07-01", Master_Orders!J2:J174, "Prepaid")</f>
        <v/>
      </c>
      <c r="D10" s="21">
        <f>C10/B10</f>
        <v/>
      </c>
      <c r="E10" s="19">
        <f>COUNTIFS(Master_Orders!D2:D174, "2026-07-01", Master_Orders!J2:J174, "Prepaid", Master_Orders!K2:K174, "Delivered")</f>
        <v/>
      </c>
      <c r="F10" s="21">
        <f>SUMIFS(Master_Orders!E2:E174, Master_Orders!D2:D174, "2026-07-01", Master_Orders!J2:J174, "Prepaid", Master_Orders!K2:K174, "Delivered")</f>
        <v/>
      </c>
      <c r="G10" s="19">
        <f>COUNTIFS(Master_Orders!D2:D174, "2026-07-01", Master_Orders!J2:J174, "Prepaid", Master_Orders!K2:K174, "RTO / Returned")</f>
        <v/>
      </c>
      <c r="H10" s="21">
        <f>SUMIFS(Master_Orders!E2:E174, Master_Orders!D2:D174, "2026-07-01", Master_Orders!J2:J174, "Prepaid", Master_Orders!K2:K174, "RTO / Returned")</f>
        <v/>
      </c>
      <c r="I10" s="19">
        <f>COUNTIFS(Master_Orders!D2:D174, "2026-07-01", Master_Orders!J2:J174, "Prepaid", Master_Orders!K2:K174, "Canceled")</f>
        <v/>
      </c>
      <c r="J10" s="19">
        <f>COUNTIFS(Master_Orders!D2:D174, "2026-07-01", Master_Orders!J2:J174, "Prepaid", Master_Orders!K2:K174, "In Transit")</f>
        <v/>
      </c>
      <c r="K10" s="20">
        <f>E10/B10</f>
        <v/>
      </c>
    </row>
    <row r="11">
      <c r="A11" s="43" t="inlineStr">
        <is>
          <t>2026-07-02</t>
        </is>
      </c>
      <c r="B11" s="19">
        <f>COUNTIFS(Master_Orders!D2:D174, "2026-07-02", Master_Orders!J2:J174, "Prepaid")</f>
        <v/>
      </c>
      <c r="C11" s="21">
        <f>SUMIFS(Master_Orders!E2:E174, Master_Orders!D2:D174, "2026-07-02", Master_Orders!J2:J174, "Prepaid")</f>
        <v/>
      </c>
      <c r="D11" s="21">
        <f>C11/B11</f>
        <v/>
      </c>
      <c r="E11" s="19">
        <f>COUNTIFS(Master_Orders!D2:D174, "2026-07-02", Master_Orders!J2:J174, "Prepaid", Master_Orders!K2:K174, "Delivered")</f>
        <v/>
      </c>
      <c r="F11" s="21">
        <f>SUMIFS(Master_Orders!E2:E174, Master_Orders!D2:D174, "2026-07-02", Master_Orders!J2:J174, "Prepaid", Master_Orders!K2:K174, "Delivered")</f>
        <v/>
      </c>
      <c r="G11" s="19">
        <f>COUNTIFS(Master_Orders!D2:D174, "2026-07-02", Master_Orders!J2:J174, "Prepaid", Master_Orders!K2:K174, "RTO / Returned")</f>
        <v/>
      </c>
      <c r="H11" s="21">
        <f>SUMIFS(Master_Orders!E2:E174, Master_Orders!D2:D174, "2026-07-02", Master_Orders!J2:J174, "Prepaid", Master_Orders!K2:K174, "RTO / Returned")</f>
        <v/>
      </c>
      <c r="I11" s="19">
        <f>COUNTIFS(Master_Orders!D2:D174, "2026-07-02", Master_Orders!J2:J174, "Prepaid", Master_Orders!K2:K174, "Canceled")</f>
        <v/>
      </c>
      <c r="J11" s="19">
        <f>COUNTIFS(Master_Orders!D2:D174, "2026-07-02", Master_Orders!J2:J174, "Prepaid", Master_Orders!K2:K174, "In Transit")</f>
        <v/>
      </c>
      <c r="K11" s="20">
        <f>E11/B11</f>
        <v/>
      </c>
    </row>
    <row r="12">
      <c r="A12" s="43" t="inlineStr">
        <is>
          <t>2026-07-03</t>
        </is>
      </c>
      <c r="B12" s="19">
        <f>COUNTIFS(Master_Orders!D2:D174, "2026-07-03", Master_Orders!J2:J174, "Prepaid")</f>
        <v/>
      </c>
      <c r="C12" s="21">
        <f>SUMIFS(Master_Orders!E2:E174, Master_Orders!D2:D174, "2026-07-03", Master_Orders!J2:J174, "Prepaid")</f>
        <v/>
      </c>
      <c r="D12" s="21">
        <f>C12/B12</f>
        <v/>
      </c>
      <c r="E12" s="19">
        <f>COUNTIFS(Master_Orders!D2:D174, "2026-07-03", Master_Orders!J2:J174, "Prepaid", Master_Orders!K2:K174, "Delivered")</f>
        <v/>
      </c>
      <c r="F12" s="21">
        <f>SUMIFS(Master_Orders!E2:E174, Master_Orders!D2:D174, "2026-07-03", Master_Orders!J2:J174, "Prepaid", Master_Orders!K2:K174, "Delivered")</f>
        <v/>
      </c>
      <c r="G12" s="19">
        <f>COUNTIFS(Master_Orders!D2:D174, "2026-07-03", Master_Orders!J2:J174, "Prepaid", Master_Orders!K2:K174, "RTO / Returned")</f>
        <v/>
      </c>
      <c r="H12" s="21">
        <f>SUMIFS(Master_Orders!E2:E174, Master_Orders!D2:D174, "2026-07-03", Master_Orders!J2:J174, "Prepaid", Master_Orders!K2:K174, "RTO / Returned")</f>
        <v/>
      </c>
      <c r="I12" s="19">
        <f>COUNTIFS(Master_Orders!D2:D174, "2026-07-03", Master_Orders!J2:J174, "Prepaid", Master_Orders!K2:K174, "Canceled")</f>
        <v/>
      </c>
      <c r="J12" s="19">
        <f>COUNTIFS(Master_Orders!D2:D174, "2026-07-03", Master_Orders!J2:J174, "Prepaid", Master_Orders!K2:K174, "In Transit")</f>
        <v/>
      </c>
      <c r="K12" s="20">
        <f>E12/B12</f>
        <v/>
      </c>
    </row>
    <row r="13">
      <c r="A13" s="43" t="inlineStr">
        <is>
          <t>2026-07-04</t>
        </is>
      </c>
      <c r="B13" s="19">
        <f>COUNTIFS(Master_Orders!D2:D174, "2026-07-04", Master_Orders!J2:J174, "Prepaid")</f>
        <v/>
      </c>
      <c r="C13" s="21">
        <f>SUMIFS(Master_Orders!E2:E174, Master_Orders!D2:D174, "2026-07-04", Master_Orders!J2:J174, "Prepaid")</f>
        <v/>
      </c>
      <c r="D13" s="21">
        <f>C13/B13</f>
        <v/>
      </c>
      <c r="E13" s="19">
        <f>COUNTIFS(Master_Orders!D2:D174, "2026-07-04", Master_Orders!J2:J174, "Prepaid", Master_Orders!K2:K174, "Delivered")</f>
        <v/>
      </c>
      <c r="F13" s="21">
        <f>SUMIFS(Master_Orders!E2:E174, Master_Orders!D2:D174, "2026-07-04", Master_Orders!J2:J174, "Prepaid", Master_Orders!K2:K174, "Delivered")</f>
        <v/>
      </c>
      <c r="G13" s="19">
        <f>COUNTIFS(Master_Orders!D2:D174, "2026-07-04", Master_Orders!J2:J174, "Prepaid", Master_Orders!K2:K174, "RTO / Returned")</f>
        <v/>
      </c>
      <c r="H13" s="21">
        <f>SUMIFS(Master_Orders!E2:E174, Master_Orders!D2:D174, "2026-07-04", Master_Orders!J2:J174, "Prepaid", Master_Orders!K2:K174, "RTO / Returned")</f>
        <v/>
      </c>
      <c r="I13" s="19">
        <f>COUNTIFS(Master_Orders!D2:D174, "2026-07-04", Master_Orders!J2:J174, "Prepaid", Master_Orders!K2:K174, "Canceled")</f>
        <v/>
      </c>
      <c r="J13" s="19">
        <f>COUNTIFS(Master_Orders!D2:D174, "2026-07-04", Master_Orders!J2:J174, "Prepaid", Master_Orders!K2:K174, "In Transit")</f>
        <v/>
      </c>
      <c r="K13" s="20">
        <f>E13/B13</f>
        <v/>
      </c>
    </row>
    <row r="14">
      <c r="A14" s="43" t="inlineStr">
        <is>
          <t>2026-07-05</t>
        </is>
      </c>
      <c r="B14" s="19">
        <f>COUNTIFS(Master_Orders!D2:D174, "2026-07-05", Master_Orders!J2:J174, "Prepaid")</f>
        <v/>
      </c>
      <c r="C14" s="21">
        <f>SUMIFS(Master_Orders!E2:E174, Master_Orders!D2:D174, "2026-07-05", Master_Orders!J2:J174, "Prepaid")</f>
        <v/>
      </c>
      <c r="D14" s="21">
        <f>C14/B14</f>
        <v/>
      </c>
      <c r="E14" s="19">
        <f>COUNTIFS(Master_Orders!D2:D174, "2026-07-05", Master_Orders!J2:J174, "Prepaid", Master_Orders!K2:K174, "Delivered")</f>
        <v/>
      </c>
      <c r="F14" s="21">
        <f>SUMIFS(Master_Orders!E2:E174, Master_Orders!D2:D174, "2026-07-05", Master_Orders!J2:J174, "Prepaid", Master_Orders!K2:K174, "Delivered")</f>
        <v/>
      </c>
      <c r="G14" s="19">
        <f>COUNTIFS(Master_Orders!D2:D174, "2026-07-05", Master_Orders!J2:J174, "Prepaid", Master_Orders!K2:K174, "RTO / Returned")</f>
        <v/>
      </c>
      <c r="H14" s="21">
        <f>SUMIFS(Master_Orders!E2:E174, Master_Orders!D2:D174, "2026-07-05", Master_Orders!J2:J174, "Prepaid", Master_Orders!K2:K174, "RTO / Returned")</f>
        <v/>
      </c>
      <c r="I14" s="19">
        <f>COUNTIFS(Master_Orders!D2:D174, "2026-07-05", Master_Orders!J2:J174, "Prepaid", Master_Orders!K2:K174, "Canceled")</f>
        <v/>
      </c>
      <c r="J14" s="19">
        <f>COUNTIFS(Master_Orders!D2:D174, "2026-07-05", Master_Orders!J2:J174, "Prepaid", Master_Orders!K2:K174, "In Transit")</f>
        <v/>
      </c>
      <c r="K14" s="20">
        <f>E14/B14</f>
        <v/>
      </c>
    </row>
    <row r="15">
      <c r="A15" s="43" t="inlineStr">
        <is>
          <t>2026-07-06</t>
        </is>
      </c>
      <c r="B15" s="19">
        <f>COUNTIFS(Master_Orders!D2:D174, "2026-07-06", Master_Orders!J2:J174, "Prepaid")</f>
        <v/>
      </c>
      <c r="C15" s="21">
        <f>SUMIFS(Master_Orders!E2:E174, Master_Orders!D2:D174, "2026-07-06", Master_Orders!J2:J174, "Prepaid")</f>
        <v/>
      </c>
      <c r="D15" s="21">
        <f>C15/B15</f>
        <v/>
      </c>
      <c r="E15" s="19">
        <f>COUNTIFS(Master_Orders!D2:D174, "2026-07-06", Master_Orders!J2:J174, "Prepaid", Master_Orders!K2:K174, "Delivered")</f>
        <v/>
      </c>
      <c r="F15" s="21">
        <f>SUMIFS(Master_Orders!E2:E174, Master_Orders!D2:D174, "2026-07-06", Master_Orders!J2:J174, "Prepaid", Master_Orders!K2:K174, "Delivered")</f>
        <v/>
      </c>
      <c r="G15" s="19">
        <f>COUNTIFS(Master_Orders!D2:D174, "2026-07-06", Master_Orders!J2:J174, "Prepaid", Master_Orders!K2:K174, "RTO / Returned")</f>
        <v/>
      </c>
      <c r="H15" s="21">
        <f>SUMIFS(Master_Orders!E2:E174, Master_Orders!D2:D174, "2026-07-06", Master_Orders!J2:J174, "Prepaid", Master_Orders!K2:K174, "RTO / Returned")</f>
        <v/>
      </c>
      <c r="I15" s="19">
        <f>COUNTIFS(Master_Orders!D2:D174, "2026-07-06", Master_Orders!J2:J174, "Prepaid", Master_Orders!K2:K174, "Canceled")</f>
        <v/>
      </c>
      <c r="J15" s="19">
        <f>COUNTIFS(Master_Orders!D2:D174, "2026-07-06", Master_Orders!J2:J174, "Prepaid", Master_Orders!K2:K174, "In Transit")</f>
        <v/>
      </c>
      <c r="K15" s="20">
        <f>E15/B15</f>
        <v/>
      </c>
    </row>
    <row r="16">
      <c r="A16" s="43" t="inlineStr">
        <is>
          <t>2026-07-07</t>
        </is>
      </c>
      <c r="B16" s="19">
        <f>COUNTIFS(Master_Orders!D2:D174, "2026-07-07", Master_Orders!J2:J174, "Prepaid")</f>
        <v/>
      </c>
      <c r="C16" s="21">
        <f>SUMIFS(Master_Orders!E2:E174, Master_Orders!D2:D174, "2026-07-07", Master_Orders!J2:J174, "Prepaid")</f>
        <v/>
      </c>
      <c r="D16" s="21">
        <f>C16/B16</f>
        <v/>
      </c>
      <c r="E16" s="19">
        <f>COUNTIFS(Master_Orders!D2:D174, "2026-07-07", Master_Orders!J2:J174, "Prepaid", Master_Orders!K2:K174, "Delivered")</f>
        <v/>
      </c>
      <c r="F16" s="21">
        <f>SUMIFS(Master_Orders!E2:E174, Master_Orders!D2:D174, "2026-07-07", Master_Orders!J2:J174, "Prepaid", Master_Orders!K2:K174, "Delivered")</f>
        <v/>
      </c>
      <c r="G16" s="19">
        <f>COUNTIFS(Master_Orders!D2:D174, "2026-07-07", Master_Orders!J2:J174, "Prepaid", Master_Orders!K2:K174, "RTO / Returned")</f>
        <v/>
      </c>
      <c r="H16" s="21">
        <f>SUMIFS(Master_Orders!E2:E174, Master_Orders!D2:D174, "2026-07-07", Master_Orders!J2:J174, "Prepaid", Master_Orders!K2:K174, "RTO / Returned")</f>
        <v/>
      </c>
      <c r="I16" s="19">
        <f>COUNTIFS(Master_Orders!D2:D174, "2026-07-07", Master_Orders!J2:J174, "Prepaid", Master_Orders!K2:K174, "Canceled")</f>
        <v/>
      </c>
      <c r="J16" s="19">
        <f>COUNTIFS(Master_Orders!D2:D174, "2026-07-07", Master_Orders!J2:J174, "Prepaid", Master_Orders!K2:K174, "In Transit")</f>
        <v/>
      </c>
      <c r="K16" s="20">
        <f>E16/B16</f>
        <v/>
      </c>
    </row>
    <row r="17">
      <c r="A17" s="43" t="inlineStr">
        <is>
          <t>2026-07-08</t>
        </is>
      </c>
      <c r="B17" s="19">
        <f>COUNTIFS(Master_Orders!D2:D174, "2026-07-08", Master_Orders!J2:J174, "Prepaid")</f>
        <v/>
      </c>
      <c r="C17" s="21">
        <f>SUMIFS(Master_Orders!E2:E174, Master_Orders!D2:D174, "2026-07-08", Master_Orders!J2:J174, "Prepaid")</f>
        <v/>
      </c>
      <c r="D17" s="21">
        <f>C17/B17</f>
        <v/>
      </c>
      <c r="E17" s="19">
        <f>COUNTIFS(Master_Orders!D2:D174, "2026-07-08", Master_Orders!J2:J174, "Prepaid", Master_Orders!K2:K174, "Delivered")</f>
        <v/>
      </c>
      <c r="F17" s="21">
        <f>SUMIFS(Master_Orders!E2:E174, Master_Orders!D2:D174, "2026-07-08", Master_Orders!J2:J174, "Prepaid", Master_Orders!K2:K174, "Delivered")</f>
        <v/>
      </c>
      <c r="G17" s="19">
        <f>COUNTIFS(Master_Orders!D2:D174, "2026-07-08", Master_Orders!J2:J174, "Prepaid", Master_Orders!K2:K174, "RTO / Returned")</f>
        <v/>
      </c>
      <c r="H17" s="21">
        <f>SUMIFS(Master_Orders!E2:E174, Master_Orders!D2:D174, "2026-07-08", Master_Orders!J2:J174, "Prepaid", Master_Orders!K2:K174, "RTO / Returned")</f>
        <v/>
      </c>
      <c r="I17" s="19">
        <f>COUNTIFS(Master_Orders!D2:D174, "2026-07-08", Master_Orders!J2:J174, "Prepaid", Master_Orders!K2:K174, "Canceled")</f>
        <v/>
      </c>
      <c r="J17" s="19">
        <f>COUNTIFS(Master_Orders!D2:D174, "2026-07-08", Master_Orders!J2:J174, "Prepaid", Master_Orders!K2:K174, "In Transit")</f>
        <v/>
      </c>
      <c r="K17" s="20">
        <f>E17/B17</f>
        <v/>
      </c>
    </row>
    <row r="18">
      <c r="A18" s="43" t="inlineStr">
        <is>
          <t>2026-07-09</t>
        </is>
      </c>
      <c r="B18" s="19">
        <f>COUNTIFS(Master_Orders!D2:D174, "2026-07-09", Master_Orders!J2:J174, "Prepaid")</f>
        <v/>
      </c>
      <c r="C18" s="21">
        <f>SUMIFS(Master_Orders!E2:E174, Master_Orders!D2:D174, "2026-07-09", Master_Orders!J2:J174, "Prepaid")</f>
        <v/>
      </c>
      <c r="D18" s="21">
        <f>C18/B18</f>
        <v/>
      </c>
      <c r="E18" s="19">
        <f>COUNTIFS(Master_Orders!D2:D174, "2026-07-09", Master_Orders!J2:J174, "Prepaid", Master_Orders!K2:K174, "Delivered")</f>
        <v/>
      </c>
      <c r="F18" s="21">
        <f>SUMIFS(Master_Orders!E2:E174, Master_Orders!D2:D174, "2026-07-09", Master_Orders!J2:J174, "Prepaid", Master_Orders!K2:K174, "Delivered")</f>
        <v/>
      </c>
      <c r="G18" s="19">
        <f>COUNTIFS(Master_Orders!D2:D174, "2026-07-09", Master_Orders!J2:J174, "Prepaid", Master_Orders!K2:K174, "RTO / Returned")</f>
        <v/>
      </c>
      <c r="H18" s="21">
        <f>SUMIFS(Master_Orders!E2:E174, Master_Orders!D2:D174, "2026-07-09", Master_Orders!J2:J174, "Prepaid", Master_Orders!K2:K174, "RTO / Returned")</f>
        <v/>
      </c>
      <c r="I18" s="19">
        <f>COUNTIFS(Master_Orders!D2:D174, "2026-07-09", Master_Orders!J2:J174, "Prepaid", Master_Orders!K2:K174, "Canceled")</f>
        <v/>
      </c>
      <c r="J18" s="19">
        <f>COUNTIFS(Master_Orders!D2:D174, "2026-07-09", Master_Orders!J2:J174, "Prepaid", Master_Orders!K2:K174, "In Transit")</f>
        <v/>
      </c>
      <c r="K18" s="20">
        <f>E18/B18</f>
        <v/>
      </c>
    </row>
    <row r="19">
      <c r="A19" s="43" t="inlineStr">
        <is>
          <t>2026-07-10</t>
        </is>
      </c>
      <c r="B19" s="19">
        <f>COUNTIFS(Master_Orders!D2:D174, "2026-07-10", Master_Orders!J2:J174, "Prepaid")</f>
        <v/>
      </c>
      <c r="C19" s="21">
        <f>SUMIFS(Master_Orders!E2:E174, Master_Orders!D2:D174, "2026-07-10", Master_Orders!J2:J174, "Prepaid")</f>
        <v/>
      </c>
      <c r="D19" s="21">
        <f>C19/B19</f>
        <v/>
      </c>
      <c r="E19" s="19">
        <f>COUNTIFS(Master_Orders!D2:D174, "2026-07-10", Master_Orders!J2:J174, "Prepaid", Master_Orders!K2:K174, "Delivered")</f>
        <v/>
      </c>
      <c r="F19" s="21">
        <f>SUMIFS(Master_Orders!E2:E174, Master_Orders!D2:D174, "2026-07-10", Master_Orders!J2:J174, "Prepaid", Master_Orders!K2:K174, "Delivered")</f>
        <v/>
      </c>
      <c r="G19" s="19">
        <f>COUNTIFS(Master_Orders!D2:D174, "2026-07-10", Master_Orders!J2:J174, "Prepaid", Master_Orders!K2:K174, "RTO / Returned")</f>
        <v/>
      </c>
      <c r="H19" s="21">
        <f>SUMIFS(Master_Orders!E2:E174, Master_Orders!D2:D174, "2026-07-10", Master_Orders!J2:J174, "Prepaid", Master_Orders!K2:K174, "RTO / Returned")</f>
        <v/>
      </c>
      <c r="I19" s="19">
        <f>COUNTIFS(Master_Orders!D2:D174, "2026-07-10", Master_Orders!J2:J174, "Prepaid", Master_Orders!K2:K174, "Canceled")</f>
        <v/>
      </c>
      <c r="J19" s="19">
        <f>COUNTIFS(Master_Orders!D2:D174, "2026-07-10", Master_Orders!J2:J174, "Prepaid", Master_Orders!K2:K174, "In Transit")</f>
        <v/>
      </c>
      <c r="K19" s="20">
        <f>E19/B19</f>
        <v/>
      </c>
    </row>
    <row r="20">
      <c r="A20" s="43" t="inlineStr">
        <is>
          <t>2026-07-11</t>
        </is>
      </c>
      <c r="B20" s="19">
        <f>COUNTIFS(Master_Orders!D2:D174, "2026-07-11", Master_Orders!J2:J174, "Prepaid")</f>
        <v/>
      </c>
      <c r="C20" s="21">
        <f>SUMIFS(Master_Orders!E2:E174, Master_Orders!D2:D174, "2026-07-11", Master_Orders!J2:J174, "Prepaid")</f>
        <v/>
      </c>
      <c r="D20" s="21">
        <f>C20/B20</f>
        <v/>
      </c>
      <c r="E20" s="19">
        <f>COUNTIFS(Master_Orders!D2:D174, "2026-07-11", Master_Orders!J2:J174, "Prepaid", Master_Orders!K2:K174, "Delivered")</f>
        <v/>
      </c>
      <c r="F20" s="21">
        <f>SUMIFS(Master_Orders!E2:E174, Master_Orders!D2:D174, "2026-07-11", Master_Orders!J2:J174, "Prepaid", Master_Orders!K2:K174, "Delivered")</f>
        <v/>
      </c>
      <c r="G20" s="19">
        <f>COUNTIFS(Master_Orders!D2:D174, "2026-07-11", Master_Orders!J2:J174, "Prepaid", Master_Orders!K2:K174, "RTO / Returned")</f>
        <v/>
      </c>
      <c r="H20" s="21">
        <f>SUMIFS(Master_Orders!E2:E174, Master_Orders!D2:D174, "2026-07-11", Master_Orders!J2:J174, "Prepaid", Master_Orders!K2:K174, "RTO / Returned")</f>
        <v/>
      </c>
      <c r="I20" s="19">
        <f>COUNTIFS(Master_Orders!D2:D174, "2026-07-11", Master_Orders!J2:J174, "Prepaid", Master_Orders!K2:K174, "Canceled")</f>
        <v/>
      </c>
      <c r="J20" s="19">
        <f>COUNTIFS(Master_Orders!D2:D174, "2026-07-11", Master_Orders!J2:J174, "Prepaid", Master_Orders!K2:K174, "In Transit")</f>
        <v/>
      </c>
      <c r="K20" s="20">
        <f>E20/B20</f>
        <v/>
      </c>
    </row>
    <row r="21">
      <c r="A21" s="43" t="inlineStr">
        <is>
          <t>2026-07-12</t>
        </is>
      </c>
      <c r="B21" s="19">
        <f>COUNTIFS(Master_Orders!D2:D174, "2026-07-12", Master_Orders!J2:J174, "Prepaid")</f>
        <v/>
      </c>
      <c r="C21" s="21">
        <f>SUMIFS(Master_Orders!E2:E174, Master_Orders!D2:D174, "2026-07-12", Master_Orders!J2:J174, "Prepaid")</f>
        <v/>
      </c>
      <c r="D21" s="21">
        <f>C21/B21</f>
        <v/>
      </c>
      <c r="E21" s="19">
        <f>COUNTIFS(Master_Orders!D2:D174, "2026-07-12", Master_Orders!J2:J174, "Prepaid", Master_Orders!K2:K174, "Delivered")</f>
        <v/>
      </c>
      <c r="F21" s="21">
        <f>SUMIFS(Master_Orders!E2:E174, Master_Orders!D2:D174, "2026-07-12", Master_Orders!J2:J174, "Prepaid", Master_Orders!K2:K174, "Delivered")</f>
        <v/>
      </c>
      <c r="G21" s="19">
        <f>COUNTIFS(Master_Orders!D2:D174, "2026-07-12", Master_Orders!J2:J174, "Prepaid", Master_Orders!K2:K174, "RTO / Returned")</f>
        <v/>
      </c>
      <c r="H21" s="21">
        <f>SUMIFS(Master_Orders!E2:E174, Master_Orders!D2:D174, "2026-07-12", Master_Orders!J2:J174, "Prepaid", Master_Orders!K2:K174, "RTO / Returned")</f>
        <v/>
      </c>
      <c r="I21" s="19">
        <f>COUNTIFS(Master_Orders!D2:D174, "2026-07-12", Master_Orders!J2:J174, "Prepaid", Master_Orders!K2:K174, "Canceled")</f>
        <v/>
      </c>
      <c r="J21" s="19">
        <f>COUNTIFS(Master_Orders!D2:D174, "2026-07-12", Master_Orders!J2:J174, "Prepaid", Master_Orders!K2:K174, "In Transit")</f>
        <v/>
      </c>
      <c r="K21" s="20">
        <f>E21/B21</f>
        <v/>
      </c>
    </row>
    <row r="22">
      <c r="A22" s="43" t="inlineStr">
        <is>
          <t>2026-07-13</t>
        </is>
      </c>
      <c r="B22" s="19">
        <f>COUNTIFS(Master_Orders!D2:D174, "2026-07-13", Master_Orders!J2:J174, "Prepaid")</f>
        <v/>
      </c>
      <c r="C22" s="21">
        <f>SUMIFS(Master_Orders!E2:E174, Master_Orders!D2:D174, "2026-07-13", Master_Orders!J2:J174, "Prepaid")</f>
        <v/>
      </c>
      <c r="D22" s="21">
        <f>C22/B22</f>
        <v/>
      </c>
      <c r="E22" s="19">
        <f>COUNTIFS(Master_Orders!D2:D174, "2026-07-13", Master_Orders!J2:J174, "Prepaid", Master_Orders!K2:K174, "Delivered")</f>
        <v/>
      </c>
      <c r="F22" s="21">
        <f>SUMIFS(Master_Orders!E2:E174, Master_Orders!D2:D174, "2026-07-13", Master_Orders!J2:J174, "Prepaid", Master_Orders!K2:K174, "Delivered")</f>
        <v/>
      </c>
      <c r="G22" s="19">
        <f>COUNTIFS(Master_Orders!D2:D174, "2026-07-13", Master_Orders!J2:J174, "Prepaid", Master_Orders!K2:K174, "RTO / Returned")</f>
        <v/>
      </c>
      <c r="H22" s="21">
        <f>SUMIFS(Master_Orders!E2:E174, Master_Orders!D2:D174, "2026-07-13", Master_Orders!J2:J174, "Prepaid", Master_Orders!K2:K174, "RTO / Returned")</f>
        <v/>
      </c>
      <c r="I22" s="19">
        <f>COUNTIFS(Master_Orders!D2:D174, "2026-07-13", Master_Orders!J2:J174, "Prepaid", Master_Orders!K2:K174, "Canceled")</f>
        <v/>
      </c>
      <c r="J22" s="19">
        <f>COUNTIFS(Master_Orders!D2:D174, "2026-07-13", Master_Orders!J2:J174, "Prepaid", Master_Orders!K2:K174, "In Transit")</f>
        <v/>
      </c>
      <c r="K22" s="20">
        <f>E22/B22</f>
        <v/>
      </c>
    </row>
    <row r="23">
      <c r="A23" s="43" t="inlineStr">
        <is>
          <t>2026-07-14</t>
        </is>
      </c>
      <c r="B23" s="19">
        <f>COUNTIFS(Master_Orders!D2:D174, "2026-07-14", Master_Orders!J2:J174, "Prepaid")</f>
        <v/>
      </c>
      <c r="C23" s="21">
        <f>SUMIFS(Master_Orders!E2:E174, Master_Orders!D2:D174, "2026-07-14", Master_Orders!J2:J174, "Prepaid")</f>
        <v/>
      </c>
      <c r="D23" s="21">
        <f>C23/B23</f>
        <v/>
      </c>
      <c r="E23" s="19">
        <f>COUNTIFS(Master_Orders!D2:D174, "2026-07-14", Master_Orders!J2:J174, "Prepaid", Master_Orders!K2:K174, "Delivered")</f>
        <v/>
      </c>
      <c r="F23" s="21">
        <f>SUMIFS(Master_Orders!E2:E174, Master_Orders!D2:D174, "2026-07-14", Master_Orders!J2:J174, "Prepaid", Master_Orders!K2:K174, "Delivered")</f>
        <v/>
      </c>
      <c r="G23" s="19">
        <f>COUNTIFS(Master_Orders!D2:D174, "2026-07-14", Master_Orders!J2:J174, "Prepaid", Master_Orders!K2:K174, "RTO / Returned")</f>
        <v/>
      </c>
      <c r="H23" s="21">
        <f>SUMIFS(Master_Orders!E2:E174, Master_Orders!D2:D174, "2026-07-14", Master_Orders!J2:J174, "Prepaid", Master_Orders!K2:K174, "RTO / Returned")</f>
        <v/>
      </c>
      <c r="I23" s="19">
        <f>COUNTIFS(Master_Orders!D2:D174, "2026-07-14", Master_Orders!J2:J174, "Prepaid", Master_Orders!K2:K174, "Canceled")</f>
        <v/>
      </c>
      <c r="J23" s="19">
        <f>COUNTIFS(Master_Orders!D2:D174, "2026-07-14", Master_Orders!J2:J174, "Prepaid", Master_Orders!K2:K174, "In Transit")</f>
        <v/>
      </c>
      <c r="K23" s="20">
        <f>E23/B23</f>
        <v/>
      </c>
    </row>
    <row r="24">
      <c r="A24" s="43" t="inlineStr">
        <is>
          <t>2026-07-15</t>
        </is>
      </c>
      <c r="B24" s="19">
        <f>COUNTIFS(Master_Orders!D2:D174, "2026-07-15", Master_Orders!J2:J174, "Prepaid")</f>
        <v/>
      </c>
      <c r="C24" s="21">
        <f>SUMIFS(Master_Orders!E2:E174, Master_Orders!D2:D174, "2026-07-15", Master_Orders!J2:J174, "Prepaid")</f>
        <v/>
      </c>
      <c r="D24" s="21">
        <f>C24/B24</f>
        <v/>
      </c>
      <c r="E24" s="19">
        <f>COUNTIFS(Master_Orders!D2:D174, "2026-07-15", Master_Orders!J2:J174, "Prepaid", Master_Orders!K2:K174, "Delivered")</f>
        <v/>
      </c>
      <c r="F24" s="21">
        <f>SUMIFS(Master_Orders!E2:E174, Master_Orders!D2:D174, "2026-07-15", Master_Orders!J2:J174, "Prepaid", Master_Orders!K2:K174, "Delivered")</f>
        <v/>
      </c>
      <c r="G24" s="19">
        <f>COUNTIFS(Master_Orders!D2:D174, "2026-07-15", Master_Orders!J2:J174, "Prepaid", Master_Orders!K2:K174, "RTO / Returned")</f>
        <v/>
      </c>
      <c r="H24" s="21">
        <f>SUMIFS(Master_Orders!E2:E174, Master_Orders!D2:D174, "2026-07-15", Master_Orders!J2:J174, "Prepaid", Master_Orders!K2:K174, "RTO / Returned")</f>
        <v/>
      </c>
      <c r="I24" s="19">
        <f>COUNTIFS(Master_Orders!D2:D174, "2026-07-15", Master_Orders!J2:J174, "Prepaid", Master_Orders!K2:K174, "Canceled")</f>
        <v/>
      </c>
      <c r="J24" s="19">
        <f>COUNTIFS(Master_Orders!D2:D174, "2026-07-15", Master_Orders!J2:J174, "Prepaid", Master_Orders!K2:K174, "In Transit")</f>
        <v/>
      </c>
      <c r="K24" s="20">
        <f>E24/B24</f>
        <v/>
      </c>
    </row>
    <row r="25">
      <c r="A25" s="43" t="inlineStr">
        <is>
          <t>2026-07-16</t>
        </is>
      </c>
      <c r="B25" s="19">
        <f>COUNTIFS(Master_Orders!D2:D174, "2026-07-16", Master_Orders!J2:J174, "Prepaid")</f>
        <v/>
      </c>
      <c r="C25" s="21">
        <f>SUMIFS(Master_Orders!E2:E174, Master_Orders!D2:D174, "2026-07-16", Master_Orders!J2:J174, "Prepaid")</f>
        <v/>
      </c>
      <c r="D25" s="21">
        <f>C25/B25</f>
        <v/>
      </c>
      <c r="E25" s="19">
        <f>COUNTIFS(Master_Orders!D2:D174, "2026-07-16", Master_Orders!J2:J174, "Prepaid", Master_Orders!K2:K174, "Delivered")</f>
        <v/>
      </c>
      <c r="F25" s="21">
        <f>SUMIFS(Master_Orders!E2:E174, Master_Orders!D2:D174, "2026-07-16", Master_Orders!J2:J174, "Prepaid", Master_Orders!K2:K174, "Delivered")</f>
        <v/>
      </c>
      <c r="G25" s="19">
        <f>COUNTIFS(Master_Orders!D2:D174, "2026-07-16", Master_Orders!J2:J174, "Prepaid", Master_Orders!K2:K174, "RTO / Returned")</f>
        <v/>
      </c>
      <c r="H25" s="21">
        <f>SUMIFS(Master_Orders!E2:E174, Master_Orders!D2:D174, "2026-07-16", Master_Orders!J2:J174, "Prepaid", Master_Orders!K2:K174, "RTO / Returned")</f>
        <v/>
      </c>
      <c r="I25" s="19">
        <f>COUNTIFS(Master_Orders!D2:D174, "2026-07-16", Master_Orders!J2:J174, "Prepaid", Master_Orders!K2:K174, "Canceled")</f>
        <v/>
      </c>
      <c r="J25" s="19">
        <f>COUNTIFS(Master_Orders!D2:D174, "2026-07-16", Master_Orders!J2:J174, "Prepaid", Master_Orders!K2:K174, "In Transit")</f>
        <v/>
      </c>
      <c r="K25" s="20">
        <f>E25/B25</f>
        <v/>
      </c>
    </row>
    <row r="26">
      <c r="A26" s="43" t="inlineStr">
        <is>
          <t>2026-07-17</t>
        </is>
      </c>
      <c r="B26" s="19">
        <f>COUNTIFS(Master_Orders!D2:D174, "2026-07-17", Master_Orders!J2:J174, "Prepaid")</f>
        <v/>
      </c>
      <c r="C26" s="21">
        <f>SUMIFS(Master_Orders!E2:E174, Master_Orders!D2:D174, "2026-07-17", Master_Orders!J2:J174, "Prepaid")</f>
        <v/>
      </c>
      <c r="D26" s="21">
        <f>C26/B26</f>
        <v/>
      </c>
      <c r="E26" s="19">
        <f>COUNTIFS(Master_Orders!D2:D174, "2026-07-17", Master_Orders!J2:J174, "Prepaid", Master_Orders!K2:K174, "Delivered")</f>
        <v/>
      </c>
      <c r="F26" s="21">
        <f>SUMIFS(Master_Orders!E2:E174, Master_Orders!D2:D174, "2026-07-17", Master_Orders!J2:J174, "Prepaid", Master_Orders!K2:K174, "Delivered")</f>
        <v/>
      </c>
      <c r="G26" s="19">
        <f>COUNTIFS(Master_Orders!D2:D174, "2026-07-17", Master_Orders!J2:J174, "Prepaid", Master_Orders!K2:K174, "RTO / Returned")</f>
        <v/>
      </c>
      <c r="H26" s="21">
        <f>SUMIFS(Master_Orders!E2:E174, Master_Orders!D2:D174, "2026-07-17", Master_Orders!J2:J174, "Prepaid", Master_Orders!K2:K174, "RTO / Returned")</f>
        <v/>
      </c>
      <c r="I26" s="19">
        <f>COUNTIFS(Master_Orders!D2:D174, "2026-07-17", Master_Orders!J2:J174, "Prepaid", Master_Orders!K2:K174, "Canceled")</f>
        <v/>
      </c>
      <c r="J26" s="19">
        <f>COUNTIFS(Master_Orders!D2:D174, "2026-07-17", Master_Orders!J2:J174, "Prepaid", Master_Orders!K2:K174, "In Transit")</f>
        <v/>
      </c>
      <c r="K26" s="20">
        <f>E26/B26</f>
        <v/>
      </c>
    </row>
    <row r="27">
      <c r="A27" s="43" t="inlineStr">
        <is>
          <t>2026-07-18</t>
        </is>
      </c>
      <c r="B27" s="19">
        <f>COUNTIFS(Master_Orders!D2:D174, "2026-07-18", Master_Orders!J2:J174, "Prepaid")</f>
        <v/>
      </c>
      <c r="C27" s="21">
        <f>SUMIFS(Master_Orders!E2:E174, Master_Orders!D2:D174, "2026-07-18", Master_Orders!J2:J174, "Prepaid")</f>
        <v/>
      </c>
      <c r="D27" s="21">
        <f>C27/B27</f>
        <v/>
      </c>
      <c r="E27" s="19">
        <f>COUNTIFS(Master_Orders!D2:D174, "2026-07-18", Master_Orders!J2:J174, "Prepaid", Master_Orders!K2:K174, "Delivered")</f>
        <v/>
      </c>
      <c r="F27" s="21">
        <f>SUMIFS(Master_Orders!E2:E174, Master_Orders!D2:D174, "2026-07-18", Master_Orders!J2:J174, "Prepaid", Master_Orders!K2:K174, "Delivered")</f>
        <v/>
      </c>
      <c r="G27" s="19">
        <f>COUNTIFS(Master_Orders!D2:D174, "2026-07-18", Master_Orders!J2:J174, "Prepaid", Master_Orders!K2:K174, "RTO / Returned")</f>
        <v/>
      </c>
      <c r="H27" s="21">
        <f>SUMIFS(Master_Orders!E2:E174, Master_Orders!D2:D174, "2026-07-18", Master_Orders!J2:J174, "Prepaid", Master_Orders!K2:K174, "RTO / Returned")</f>
        <v/>
      </c>
      <c r="I27" s="19">
        <f>COUNTIFS(Master_Orders!D2:D174, "2026-07-18", Master_Orders!J2:J174, "Prepaid", Master_Orders!K2:K174, "Canceled")</f>
        <v/>
      </c>
      <c r="J27" s="19">
        <f>COUNTIFS(Master_Orders!D2:D174, "2026-07-18", Master_Orders!J2:J174, "Prepaid", Master_Orders!K2:K174, "In Transit")</f>
        <v/>
      </c>
      <c r="K27" s="20">
        <f>E27/B27</f>
        <v/>
      </c>
    </row>
    <row r="28">
      <c r="A28" s="43" t="inlineStr">
        <is>
          <t>2026-07-19</t>
        </is>
      </c>
      <c r="B28" s="19">
        <f>COUNTIFS(Master_Orders!D2:D174, "2026-07-19", Master_Orders!J2:J174, "Prepaid")</f>
        <v/>
      </c>
      <c r="C28" s="21">
        <f>SUMIFS(Master_Orders!E2:E174, Master_Orders!D2:D174, "2026-07-19", Master_Orders!J2:J174, "Prepaid")</f>
        <v/>
      </c>
      <c r="D28" s="21">
        <f>C28/B28</f>
        <v/>
      </c>
      <c r="E28" s="19">
        <f>COUNTIFS(Master_Orders!D2:D174, "2026-07-19", Master_Orders!J2:J174, "Prepaid", Master_Orders!K2:K174, "Delivered")</f>
        <v/>
      </c>
      <c r="F28" s="21">
        <f>SUMIFS(Master_Orders!E2:E174, Master_Orders!D2:D174, "2026-07-19", Master_Orders!J2:J174, "Prepaid", Master_Orders!K2:K174, "Delivered")</f>
        <v/>
      </c>
      <c r="G28" s="19">
        <f>COUNTIFS(Master_Orders!D2:D174, "2026-07-19", Master_Orders!J2:J174, "Prepaid", Master_Orders!K2:K174, "RTO / Returned")</f>
        <v/>
      </c>
      <c r="H28" s="21">
        <f>SUMIFS(Master_Orders!E2:E174, Master_Orders!D2:D174, "2026-07-19", Master_Orders!J2:J174, "Prepaid", Master_Orders!K2:K174, "RTO / Returned")</f>
        <v/>
      </c>
      <c r="I28" s="19">
        <f>COUNTIFS(Master_Orders!D2:D174, "2026-07-19", Master_Orders!J2:J174, "Prepaid", Master_Orders!K2:K174, "Canceled")</f>
        <v/>
      </c>
      <c r="J28" s="19">
        <f>COUNTIFS(Master_Orders!D2:D174, "2026-07-19", Master_Orders!J2:J174, "Prepaid", Master_Orders!K2:K174, "In Transit")</f>
        <v/>
      </c>
      <c r="K28" s="20">
        <f>E28/B28</f>
        <v/>
      </c>
    </row>
    <row r="29">
      <c r="A29" s="43" t="inlineStr">
        <is>
          <t>2026-07-20</t>
        </is>
      </c>
      <c r="B29" s="19">
        <f>COUNTIFS(Master_Orders!D2:D174, "2026-07-20", Master_Orders!J2:J174, "Prepaid")</f>
        <v/>
      </c>
      <c r="C29" s="21">
        <f>SUMIFS(Master_Orders!E2:E174, Master_Orders!D2:D174, "2026-07-20", Master_Orders!J2:J174, "Prepaid")</f>
        <v/>
      </c>
      <c r="D29" s="21">
        <f>C29/B29</f>
        <v/>
      </c>
      <c r="E29" s="19">
        <f>COUNTIFS(Master_Orders!D2:D174, "2026-07-20", Master_Orders!J2:J174, "Prepaid", Master_Orders!K2:K174, "Delivered")</f>
        <v/>
      </c>
      <c r="F29" s="21">
        <f>SUMIFS(Master_Orders!E2:E174, Master_Orders!D2:D174, "2026-07-20", Master_Orders!J2:J174, "Prepaid", Master_Orders!K2:K174, "Delivered")</f>
        <v/>
      </c>
      <c r="G29" s="19">
        <f>COUNTIFS(Master_Orders!D2:D174, "2026-07-20", Master_Orders!J2:J174, "Prepaid", Master_Orders!K2:K174, "RTO / Returned")</f>
        <v/>
      </c>
      <c r="H29" s="21">
        <f>SUMIFS(Master_Orders!E2:E174, Master_Orders!D2:D174, "2026-07-20", Master_Orders!J2:J174, "Prepaid", Master_Orders!K2:K174, "RTO / Returned")</f>
        <v/>
      </c>
      <c r="I29" s="19">
        <f>COUNTIFS(Master_Orders!D2:D174, "2026-07-20", Master_Orders!J2:J174, "Prepaid", Master_Orders!K2:K174, "Canceled")</f>
        <v/>
      </c>
      <c r="J29" s="19">
        <f>COUNTIFS(Master_Orders!D2:D174, "2026-07-20", Master_Orders!J2:J174, "Prepaid", Master_Orders!K2:K174, "In Transit")</f>
        <v/>
      </c>
      <c r="K29" s="20">
        <f>E29/B29</f>
        <v/>
      </c>
    </row>
    <row r="30">
      <c r="A30" s="43" t="inlineStr">
        <is>
          <t>2026-07-21</t>
        </is>
      </c>
      <c r="B30" s="19">
        <f>COUNTIFS(Master_Orders!D2:D174, "2026-07-21", Master_Orders!J2:J174, "Prepaid")</f>
        <v/>
      </c>
      <c r="C30" s="21">
        <f>SUMIFS(Master_Orders!E2:E174, Master_Orders!D2:D174, "2026-07-21", Master_Orders!J2:J174, "Prepaid")</f>
        <v/>
      </c>
      <c r="D30" s="21">
        <f>C30/B30</f>
        <v/>
      </c>
      <c r="E30" s="19">
        <f>COUNTIFS(Master_Orders!D2:D174, "2026-07-21", Master_Orders!J2:J174, "Prepaid", Master_Orders!K2:K174, "Delivered")</f>
        <v/>
      </c>
      <c r="F30" s="21">
        <f>SUMIFS(Master_Orders!E2:E174, Master_Orders!D2:D174, "2026-07-21", Master_Orders!J2:J174, "Prepaid", Master_Orders!K2:K174, "Delivered")</f>
        <v/>
      </c>
      <c r="G30" s="19">
        <f>COUNTIFS(Master_Orders!D2:D174, "2026-07-21", Master_Orders!J2:J174, "Prepaid", Master_Orders!K2:K174, "RTO / Returned")</f>
        <v/>
      </c>
      <c r="H30" s="21">
        <f>SUMIFS(Master_Orders!E2:E174, Master_Orders!D2:D174, "2026-07-21", Master_Orders!J2:J174, "Prepaid", Master_Orders!K2:K174, "RTO / Returned")</f>
        <v/>
      </c>
      <c r="I30" s="19">
        <f>COUNTIFS(Master_Orders!D2:D174, "2026-07-21", Master_Orders!J2:J174, "Prepaid", Master_Orders!K2:K174, "Canceled")</f>
        <v/>
      </c>
      <c r="J30" s="19">
        <f>COUNTIFS(Master_Orders!D2:D174, "2026-07-21", Master_Orders!J2:J174, "Prepaid", Master_Orders!K2:K174, "In Transit")</f>
        <v/>
      </c>
      <c r="K30" s="20">
        <f>E30/B30</f>
        <v/>
      </c>
    </row>
    <row r="31">
      <c r="A31" s="43" t="inlineStr">
        <is>
          <t>2026-07-22</t>
        </is>
      </c>
      <c r="B31" s="19">
        <f>COUNTIFS(Master_Orders!D2:D174, "2026-07-22", Master_Orders!J2:J174, "Prepaid")</f>
        <v/>
      </c>
      <c r="C31" s="21">
        <f>SUMIFS(Master_Orders!E2:E174, Master_Orders!D2:D174, "2026-07-22", Master_Orders!J2:J174, "Prepaid")</f>
        <v/>
      </c>
      <c r="D31" s="21">
        <f>C31/B31</f>
        <v/>
      </c>
      <c r="E31" s="19">
        <f>COUNTIFS(Master_Orders!D2:D174, "2026-07-22", Master_Orders!J2:J174, "Prepaid", Master_Orders!K2:K174, "Delivered")</f>
        <v/>
      </c>
      <c r="F31" s="21">
        <f>SUMIFS(Master_Orders!E2:E174, Master_Orders!D2:D174, "2026-07-22", Master_Orders!J2:J174, "Prepaid", Master_Orders!K2:K174, "Delivered")</f>
        <v/>
      </c>
      <c r="G31" s="19">
        <f>COUNTIFS(Master_Orders!D2:D174, "2026-07-22", Master_Orders!J2:J174, "Prepaid", Master_Orders!K2:K174, "RTO / Returned")</f>
        <v/>
      </c>
      <c r="H31" s="21">
        <f>SUMIFS(Master_Orders!E2:E174, Master_Orders!D2:D174, "2026-07-22", Master_Orders!J2:J174, "Prepaid", Master_Orders!K2:K174, "RTO / Returned")</f>
        <v/>
      </c>
      <c r="I31" s="19">
        <f>COUNTIFS(Master_Orders!D2:D174, "2026-07-22", Master_Orders!J2:J174, "Prepaid", Master_Orders!K2:K174, "Canceled")</f>
        <v/>
      </c>
      <c r="J31" s="19">
        <f>COUNTIFS(Master_Orders!D2:D174, "2026-07-22", Master_Orders!J2:J174, "Prepaid", Master_Orders!K2:K174, "In Transit")</f>
        <v/>
      </c>
      <c r="K31" s="20">
        <f>E31/B31</f>
        <v/>
      </c>
    </row>
    <row r="32">
      <c r="A32" s="43" t="inlineStr">
        <is>
          <t>2026-07-23</t>
        </is>
      </c>
      <c r="B32" s="19">
        <f>COUNTIFS(Master_Orders!D2:D174, "2026-07-23", Master_Orders!J2:J174, "Prepaid")</f>
        <v/>
      </c>
      <c r="C32" s="21">
        <f>SUMIFS(Master_Orders!E2:E174, Master_Orders!D2:D174, "2026-07-23", Master_Orders!J2:J174, "Prepaid")</f>
        <v/>
      </c>
      <c r="D32" s="21">
        <f>C32/B32</f>
        <v/>
      </c>
      <c r="E32" s="19">
        <f>COUNTIFS(Master_Orders!D2:D174, "2026-07-23", Master_Orders!J2:J174, "Prepaid", Master_Orders!K2:K174, "Delivered")</f>
        <v/>
      </c>
      <c r="F32" s="21">
        <f>SUMIFS(Master_Orders!E2:E174, Master_Orders!D2:D174, "2026-07-23", Master_Orders!J2:J174, "Prepaid", Master_Orders!K2:K174, "Delivered")</f>
        <v/>
      </c>
      <c r="G32" s="19">
        <f>COUNTIFS(Master_Orders!D2:D174, "2026-07-23", Master_Orders!J2:J174, "Prepaid", Master_Orders!K2:K174, "RTO / Returned")</f>
        <v/>
      </c>
      <c r="H32" s="21">
        <f>SUMIFS(Master_Orders!E2:E174, Master_Orders!D2:D174, "2026-07-23", Master_Orders!J2:J174, "Prepaid", Master_Orders!K2:K174, "RTO / Returned")</f>
        <v/>
      </c>
      <c r="I32" s="19">
        <f>COUNTIFS(Master_Orders!D2:D174, "2026-07-23", Master_Orders!J2:J174, "Prepaid", Master_Orders!K2:K174, "Canceled")</f>
        <v/>
      </c>
      <c r="J32" s="19">
        <f>COUNTIFS(Master_Orders!D2:D174, "2026-07-23", Master_Orders!J2:J174, "Prepaid", Master_Orders!K2:K174, "In Transit")</f>
        <v/>
      </c>
      <c r="K32" s="20">
        <f>E32/B32</f>
        <v/>
      </c>
    </row>
    <row r="33">
      <c r="A33" s="43" t="inlineStr">
        <is>
          <t>2026-07-24</t>
        </is>
      </c>
      <c r="B33" s="19">
        <f>COUNTIFS(Master_Orders!D2:D174, "2026-07-24", Master_Orders!J2:J174, "Prepaid")</f>
        <v/>
      </c>
      <c r="C33" s="21">
        <f>SUMIFS(Master_Orders!E2:E174, Master_Orders!D2:D174, "2026-07-24", Master_Orders!J2:J174, "Prepaid")</f>
        <v/>
      </c>
      <c r="D33" s="21">
        <f>C33/B33</f>
        <v/>
      </c>
      <c r="E33" s="19">
        <f>COUNTIFS(Master_Orders!D2:D174, "2026-07-24", Master_Orders!J2:J174, "Prepaid", Master_Orders!K2:K174, "Delivered")</f>
        <v/>
      </c>
      <c r="F33" s="21">
        <f>SUMIFS(Master_Orders!E2:E174, Master_Orders!D2:D174, "2026-07-24", Master_Orders!J2:J174, "Prepaid", Master_Orders!K2:K174, "Delivered")</f>
        <v/>
      </c>
      <c r="G33" s="19">
        <f>COUNTIFS(Master_Orders!D2:D174, "2026-07-24", Master_Orders!J2:J174, "Prepaid", Master_Orders!K2:K174, "RTO / Returned")</f>
        <v/>
      </c>
      <c r="H33" s="21">
        <f>SUMIFS(Master_Orders!E2:E174, Master_Orders!D2:D174, "2026-07-24", Master_Orders!J2:J174, "Prepaid", Master_Orders!K2:K174, "RTO / Returned")</f>
        <v/>
      </c>
      <c r="I33" s="19">
        <f>COUNTIFS(Master_Orders!D2:D174, "2026-07-24", Master_Orders!J2:J174, "Prepaid", Master_Orders!K2:K174, "Canceled")</f>
        <v/>
      </c>
      <c r="J33" s="19">
        <f>COUNTIFS(Master_Orders!D2:D174, "2026-07-24", Master_Orders!J2:J174, "Prepaid", Master_Orders!K2:K174, "In Transit")</f>
        <v/>
      </c>
      <c r="K33" s="20">
        <f>E33/B33</f>
        <v/>
      </c>
    </row>
    <row r="34">
      <c r="A34" s="43" t="inlineStr">
        <is>
          <t>2026-07-25</t>
        </is>
      </c>
      <c r="B34" s="19">
        <f>COUNTIFS(Master_Orders!D2:D174, "2026-07-25", Master_Orders!J2:J174, "Prepaid")</f>
        <v/>
      </c>
      <c r="C34" s="21">
        <f>SUMIFS(Master_Orders!E2:E174, Master_Orders!D2:D174, "2026-07-25", Master_Orders!J2:J174, "Prepaid")</f>
        <v/>
      </c>
      <c r="D34" s="21">
        <f>C34/B34</f>
        <v/>
      </c>
      <c r="E34" s="19">
        <f>COUNTIFS(Master_Orders!D2:D174, "2026-07-25", Master_Orders!J2:J174, "Prepaid", Master_Orders!K2:K174, "Delivered")</f>
        <v/>
      </c>
      <c r="F34" s="21">
        <f>SUMIFS(Master_Orders!E2:E174, Master_Orders!D2:D174, "2026-07-25", Master_Orders!J2:J174, "Prepaid", Master_Orders!K2:K174, "Delivered")</f>
        <v/>
      </c>
      <c r="G34" s="19">
        <f>COUNTIFS(Master_Orders!D2:D174, "2026-07-25", Master_Orders!J2:J174, "Prepaid", Master_Orders!K2:K174, "RTO / Returned")</f>
        <v/>
      </c>
      <c r="H34" s="21">
        <f>SUMIFS(Master_Orders!E2:E174, Master_Orders!D2:D174, "2026-07-25", Master_Orders!J2:J174, "Prepaid", Master_Orders!K2:K174, "RTO / Returned")</f>
        <v/>
      </c>
      <c r="I34" s="19">
        <f>COUNTIFS(Master_Orders!D2:D174, "2026-07-25", Master_Orders!J2:J174, "Prepaid", Master_Orders!K2:K174, "Canceled")</f>
        <v/>
      </c>
      <c r="J34" s="19">
        <f>COUNTIFS(Master_Orders!D2:D174, "2026-07-25", Master_Orders!J2:J174, "Prepaid", Master_Orders!K2:K174, "In Transit")</f>
        <v/>
      </c>
      <c r="K34" s="20">
        <f>E34/B34</f>
        <v/>
      </c>
    </row>
    <row r="35">
      <c r="A35" s="43" t="inlineStr">
        <is>
          <t>2026-07-26</t>
        </is>
      </c>
      <c r="B35" s="19">
        <f>COUNTIFS(Master_Orders!D2:D174, "2026-07-26", Master_Orders!J2:J174, "Prepaid")</f>
        <v/>
      </c>
      <c r="C35" s="21">
        <f>SUMIFS(Master_Orders!E2:E174, Master_Orders!D2:D174, "2026-07-26", Master_Orders!J2:J174, "Prepaid")</f>
        <v/>
      </c>
      <c r="D35" s="21">
        <f>C35/B35</f>
        <v/>
      </c>
      <c r="E35" s="19">
        <f>COUNTIFS(Master_Orders!D2:D174, "2026-07-26", Master_Orders!J2:J174, "Prepaid", Master_Orders!K2:K174, "Delivered")</f>
        <v/>
      </c>
      <c r="F35" s="21">
        <f>SUMIFS(Master_Orders!E2:E174, Master_Orders!D2:D174, "2026-07-26", Master_Orders!J2:J174, "Prepaid", Master_Orders!K2:K174, "Delivered")</f>
        <v/>
      </c>
      <c r="G35" s="19">
        <f>COUNTIFS(Master_Orders!D2:D174, "2026-07-26", Master_Orders!J2:J174, "Prepaid", Master_Orders!K2:K174, "RTO / Returned")</f>
        <v/>
      </c>
      <c r="H35" s="21">
        <f>SUMIFS(Master_Orders!E2:E174, Master_Orders!D2:D174, "2026-07-26", Master_Orders!J2:J174, "Prepaid", Master_Orders!K2:K174, "RTO / Returned")</f>
        <v/>
      </c>
      <c r="I35" s="19">
        <f>COUNTIFS(Master_Orders!D2:D174, "2026-07-26", Master_Orders!J2:J174, "Prepaid", Master_Orders!K2:K174, "Canceled")</f>
        <v/>
      </c>
      <c r="J35" s="19">
        <f>COUNTIFS(Master_Orders!D2:D174, "2026-07-26", Master_Orders!J2:J174, "Prepaid", Master_Orders!K2:K174, "In Transit")</f>
        <v/>
      </c>
      <c r="K35" s="20">
        <f>E35/B35</f>
        <v/>
      </c>
    </row>
    <row r="36">
      <c r="A36" s="43" t="inlineStr">
        <is>
          <t>2026-07-27</t>
        </is>
      </c>
      <c r="B36" s="19">
        <f>COUNTIFS(Master_Orders!D2:D174, "2026-07-27", Master_Orders!J2:J174, "Prepaid")</f>
        <v/>
      </c>
      <c r="C36" s="21">
        <f>SUMIFS(Master_Orders!E2:E174, Master_Orders!D2:D174, "2026-07-27", Master_Orders!J2:J174, "Prepaid")</f>
        <v/>
      </c>
      <c r="D36" s="21">
        <f>C36/B36</f>
        <v/>
      </c>
      <c r="E36" s="19">
        <f>COUNTIFS(Master_Orders!D2:D174, "2026-07-27", Master_Orders!J2:J174, "Prepaid", Master_Orders!K2:K174, "Delivered")</f>
        <v/>
      </c>
      <c r="F36" s="21">
        <f>SUMIFS(Master_Orders!E2:E174, Master_Orders!D2:D174, "2026-07-27", Master_Orders!J2:J174, "Prepaid", Master_Orders!K2:K174, "Delivered")</f>
        <v/>
      </c>
      <c r="G36" s="19">
        <f>COUNTIFS(Master_Orders!D2:D174, "2026-07-27", Master_Orders!J2:J174, "Prepaid", Master_Orders!K2:K174, "RTO / Returned")</f>
        <v/>
      </c>
      <c r="H36" s="21">
        <f>SUMIFS(Master_Orders!E2:E174, Master_Orders!D2:D174, "2026-07-27", Master_Orders!J2:J174, "Prepaid", Master_Orders!K2:K174, "RTO / Returned")</f>
        <v/>
      </c>
      <c r="I36" s="19">
        <f>COUNTIFS(Master_Orders!D2:D174, "2026-07-27", Master_Orders!J2:J174, "Prepaid", Master_Orders!K2:K174, "Canceled")</f>
        <v/>
      </c>
      <c r="J36" s="19">
        <f>COUNTIFS(Master_Orders!D2:D174, "2026-07-27", Master_Orders!J2:J174, "Prepaid", Master_Orders!K2:K174, "In Transit")</f>
        <v/>
      </c>
      <c r="K36" s="20">
        <f>E36/B36</f>
        <v/>
      </c>
    </row>
    <row r="37">
      <c r="A37" s="43" t="inlineStr">
        <is>
          <t>2026-07-28</t>
        </is>
      </c>
      <c r="B37" s="19">
        <f>COUNTIFS(Master_Orders!D2:D174, "2026-07-28", Master_Orders!J2:J174, "Prepaid")</f>
        <v/>
      </c>
      <c r="C37" s="21">
        <f>SUMIFS(Master_Orders!E2:E174, Master_Orders!D2:D174, "2026-07-28", Master_Orders!J2:J174, "Prepaid")</f>
        <v/>
      </c>
      <c r="D37" s="21">
        <f>C37/B37</f>
        <v/>
      </c>
      <c r="E37" s="19">
        <f>COUNTIFS(Master_Orders!D2:D174, "2026-07-28", Master_Orders!J2:J174, "Prepaid", Master_Orders!K2:K174, "Delivered")</f>
        <v/>
      </c>
      <c r="F37" s="21">
        <f>SUMIFS(Master_Orders!E2:E174, Master_Orders!D2:D174, "2026-07-28", Master_Orders!J2:J174, "Prepaid", Master_Orders!K2:K174, "Delivered")</f>
        <v/>
      </c>
      <c r="G37" s="19">
        <f>COUNTIFS(Master_Orders!D2:D174, "2026-07-28", Master_Orders!J2:J174, "Prepaid", Master_Orders!K2:K174, "RTO / Returned")</f>
        <v/>
      </c>
      <c r="H37" s="21">
        <f>SUMIFS(Master_Orders!E2:E174, Master_Orders!D2:D174, "2026-07-28", Master_Orders!J2:J174, "Prepaid", Master_Orders!K2:K174, "RTO / Returned")</f>
        <v/>
      </c>
      <c r="I37" s="19">
        <f>COUNTIFS(Master_Orders!D2:D174, "2026-07-28", Master_Orders!J2:J174, "Prepaid", Master_Orders!K2:K174, "Canceled")</f>
        <v/>
      </c>
      <c r="J37" s="19">
        <f>COUNTIFS(Master_Orders!D2:D174, "2026-07-28", Master_Orders!J2:J174, "Prepaid", Master_Orders!K2:K174, "In Transit")</f>
        <v/>
      </c>
      <c r="K37" s="20">
        <f>E37/B37</f>
        <v/>
      </c>
    </row>
    <row r="38">
      <c r="A38" s="43" t="inlineStr">
        <is>
          <t>2026-07-29</t>
        </is>
      </c>
      <c r="B38" s="19">
        <f>COUNTIFS(Master_Orders!D2:D174, "2026-07-29", Master_Orders!J2:J174, "Prepaid")</f>
        <v/>
      </c>
      <c r="C38" s="21">
        <f>SUMIFS(Master_Orders!E2:E174, Master_Orders!D2:D174, "2026-07-29", Master_Orders!J2:J174, "Prepaid")</f>
        <v/>
      </c>
      <c r="D38" s="21">
        <f>C38/B38</f>
        <v/>
      </c>
      <c r="E38" s="19">
        <f>COUNTIFS(Master_Orders!D2:D174, "2026-07-29", Master_Orders!J2:J174, "Prepaid", Master_Orders!K2:K174, "Delivered")</f>
        <v/>
      </c>
      <c r="F38" s="21">
        <f>SUMIFS(Master_Orders!E2:E174, Master_Orders!D2:D174, "2026-07-29", Master_Orders!J2:J174, "Prepaid", Master_Orders!K2:K174, "Delivered")</f>
        <v/>
      </c>
      <c r="G38" s="19">
        <f>COUNTIFS(Master_Orders!D2:D174, "2026-07-29", Master_Orders!J2:J174, "Prepaid", Master_Orders!K2:K174, "RTO / Returned")</f>
        <v/>
      </c>
      <c r="H38" s="21">
        <f>SUMIFS(Master_Orders!E2:E174, Master_Orders!D2:D174, "2026-07-29", Master_Orders!J2:J174, "Prepaid", Master_Orders!K2:K174, "RTO / Returned")</f>
        <v/>
      </c>
      <c r="I38" s="19">
        <f>COUNTIFS(Master_Orders!D2:D174, "2026-07-29", Master_Orders!J2:J174, "Prepaid", Master_Orders!K2:K174, "Canceled")</f>
        <v/>
      </c>
      <c r="J38" s="19">
        <f>COUNTIFS(Master_Orders!D2:D174, "2026-07-29", Master_Orders!J2:J174, "Prepaid", Master_Orders!K2:K174, "In Transit")</f>
        <v/>
      </c>
      <c r="K38" s="20">
        <f>E38/B38</f>
        <v/>
      </c>
    </row>
    <row r="39">
      <c r="A39" s="43" t="inlineStr">
        <is>
          <t>2026-07-30</t>
        </is>
      </c>
      <c r="B39" s="19">
        <f>COUNTIFS(Master_Orders!D2:D174, "2026-07-30", Master_Orders!J2:J174, "Prepaid")</f>
        <v/>
      </c>
      <c r="C39" s="21">
        <f>SUMIFS(Master_Orders!E2:E174, Master_Orders!D2:D174, "2026-07-30", Master_Orders!J2:J174, "Prepaid")</f>
        <v/>
      </c>
      <c r="D39" s="21">
        <f>C39/B39</f>
        <v/>
      </c>
      <c r="E39" s="19">
        <f>COUNTIFS(Master_Orders!D2:D174, "2026-07-30", Master_Orders!J2:J174, "Prepaid", Master_Orders!K2:K174, "Delivered")</f>
        <v/>
      </c>
      <c r="F39" s="21">
        <f>SUMIFS(Master_Orders!E2:E174, Master_Orders!D2:D174, "2026-07-30", Master_Orders!J2:J174, "Prepaid", Master_Orders!K2:K174, "Delivered")</f>
        <v/>
      </c>
      <c r="G39" s="19">
        <f>COUNTIFS(Master_Orders!D2:D174, "2026-07-30", Master_Orders!J2:J174, "Prepaid", Master_Orders!K2:K174, "RTO / Returned")</f>
        <v/>
      </c>
      <c r="H39" s="21">
        <f>SUMIFS(Master_Orders!E2:E174, Master_Orders!D2:D174, "2026-07-30", Master_Orders!J2:J174, "Prepaid", Master_Orders!K2:K174, "RTO / Returned")</f>
        <v/>
      </c>
      <c r="I39" s="19">
        <f>COUNTIFS(Master_Orders!D2:D174, "2026-07-30", Master_Orders!J2:J174, "Prepaid", Master_Orders!K2:K174, "Canceled")</f>
        <v/>
      </c>
      <c r="J39" s="19">
        <f>COUNTIFS(Master_Orders!D2:D174, "2026-07-30", Master_Orders!J2:J174, "Prepaid", Master_Orders!K2:K174, "In Transit")</f>
        <v/>
      </c>
      <c r="K39" s="20">
        <f>E39/B39</f>
        <v/>
      </c>
    </row>
    <row r="40">
      <c r="A40" s="22" t="inlineStr">
        <is>
          <t>Total Prepaid Summary</t>
        </is>
      </c>
      <c r="B40" s="38">
        <f>SUM(B4:B39)</f>
        <v/>
      </c>
      <c r="C40" s="39">
        <f>SUM(C4:C39)</f>
        <v/>
      </c>
      <c r="D40" s="39">
        <f>C40/B40</f>
        <v/>
      </c>
      <c r="E40" s="38">
        <f>SUM(E4:E39)</f>
        <v/>
      </c>
      <c r="F40" s="39">
        <f>SUM(F4:F39)</f>
        <v/>
      </c>
      <c r="G40" s="38">
        <f>SUM(G4:G39)</f>
        <v/>
      </c>
      <c r="H40" s="39">
        <f>SUM(H4:H39)</f>
        <v/>
      </c>
      <c r="I40" s="38">
        <f>SUM(I4:I39)</f>
        <v/>
      </c>
      <c r="J40" s="38">
        <f>SUM(J4:J39)</f>
        <v/>
      </c>
      <c r="K40" s="41">
        <f>E40/B40</f>
        <v/>
      </c>
    </row>
  </sheetData>
  <mergeCells count="1">
    <mergeCell ref="A1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79" customWidth="1" min="3" max="3"/>
    <col width="87" customWidth="1" min="4" max="4"/>
    <col width="83" customWidth="1" min="5" max="5"/>
    <col width="69" customWidth="1" min="6" max="6"/>
    <col width="100" customWidth="1" min="7" max="7"/>
    <col width="108" customWidth="1" min="8" max="8"/>
    <col width="104" customWidth="1" min="9" max="9"/>
    <col width="85" customWidth="1" min="10" max="10"/>
    <col width="90" customWidth="1" min="11" max="11"/>
    <col width="84" customWidth="1" min="12" max="12"/>
    <col width="86" customWidth="1" min="13" max="13"/>
  </cols>
  <sheetData>
    <row r="1">
      <c r="A1" s="1" t="inlineStr">
        <is>
          <t>JANVI AIKA - DAILY ORDER PERFORMANCE: COD vs. PARTIAL COD vs. PREPAID</t>
        </is>
      </c>
    </row>
    <row r="2"/>
    <row r="3">
      <c r="A3" s="26" t="inlineStr">
        <is>
          <t>Order Date</t>
        </is>
      </c>
      <c r="B3" s="26" t="inlineStr">
        <is>
          <t>Total Orders</t>
        </is>
      </c>
      <c r="C3" s="26" t="inlineStr">
        <is>
          <t>COD Orders</t>
        </is>
      </c>
      <c r="D3" s="26" t="inlineStr">
        <is>
          <t>Partial COD Orders</t>
        </is>
      </c>
      <c r="E3" s="26" t="inlineStr">
        <is>
          <t>Prepaid Orders</t>
        </is>
      </c>
      <c r="F3" s="26" t="inlineStr">
        <is>
          <t>Total Revenue (Rs.)</t>
        </is>
      </c>
      <c r="G3" s="26" t="inlineStr">
        <is>
          <t>COD Revenue (Rs.)</t>
        </is>
      </c>
      <c r="H3" s="26" t="inlineStr">
        <is>
          <t>Partial COD Revenue (Rs.)</t>
        </is>
      </c>
      <c r="I3" s="26" t="inlineStr">
        <is>
          <t>Prepaid Revenue (Rs.)</t>
        </is>
      </c>
      <c r="J3" s="26" t="inlineStr">
        <is>
          <t>Delivered Count</t>
        </is>
      </c>
      <c r="K3" s="26" t="inlineStr">
        <is>
          <t>RTO Count</t>
        </is>
      </c>
      <c r="L3" s="26" t="inlineStr">
        <is>
          <t>Canceled Count</t>
        </is>
      </c>
      <c r="M3" s="26" t="inlineStr">
        <is>
          <t>In Transit Count</t>
        </is>
      </c>
    </row>
    <row r="4">
      <c r="A4" s="35" t="inlineStr">
        <is>
          <t>2026-06-22</t>
        </is>
      </c>
      <c r="B4" s="36">
        <f>COUNTIF(Master_Orders!D2:D174, "2026-06-22")</f>
        <v/>
      </c>
      <c r="C4" s="36">
        <f>COUNTIFS(Master_Orders!D2:D174, "2026-06-22", Master_Orders!J2:J174, "COD")</f>
        <v/>
      </c>
      <c r="D4" s="36">
        <f>COUNTIFS(Master_Orders!D2:D174, "2026-06-22", Master_Orders!J2:J174, "Partial COD")</f>
        <v/>
      </c>
      <c r="E4" s="36">
        <f>COUNTIFS(Master_Orders!D2:D174, "2026-06-22", Master_Orders!J2:J174, "Prepaid")</f>
        <v/>
      </c>
      <c r="F4" s="37">
        <f>SUMIF(Master_Orders!D2:D174, "2026-06-22", Master_Orders!E2:E174)</f>
        <v/>
      </c>
      <c r="G4" s="37">
        <f>SUMIFS(Master_Orders!E2:E174, Master_Orders!D2:D174, "2026-06-22", Master_Orders!J2:J174, "COD")</f>
        <v/>
      </c>
      <c r="H4" s="37">
        <f>SUMIFS(Master_Orders!E2:E174, Master_Orders!D2:D174, "2026-06-22", Master_Orders!J2:J174, "Partial COD")</f>
        <v/>
      </c>
      <c r="I4" s="37">
        <f>SUMIFS(Master_Orders!E2:E174, Master_Orders!D2:D174, "2026-06-22", Master_Orders!J2:J174, "Prepaid")</f>
        <v/>
      </c>
      <c r="J4" s="36">
        <f>COUNTIFS(Master_Orders!D2:D174, "2026-06-22", Master_Orders!K2:K174, "Delivered")</f>
        <v/>
      </c>
      <c r="K4" s="36">
        <f>COUNTIFS(Master_Orders!D2:D174, "2026-06-22", Master_Orders!K2:K174, "RTO / Returned")</f>
        <v/>
      </c>
      <c r="L4" s="36">
        <f>COUNTIFS(Master_Orders!D2:D174, "2026-06-22", Master_Orders!K2:K174, "Canceled")</f>
        <v/>
      </c>
      <c r="M4" s="36">
        <f>COUNTIFS(Master_Orders!D2:D174, "2026-06-22", Master_Orders!K2:K174, "In Transit")</f>
        <v/>
      </c>
    </row>
    <row r="5">
      <c r="A5" s="32" t="inlineStr">
        <is>
          <t>2026-06-24</t>
        </is>
      </c>
      <c r="B5" s="33">
        <f>COUNTIF(Master_Orders!D2:D174, "2026-06-24")</f>
        <v/>
      </c>
      <c r="C5" s="33">
        <f>COUNTIFS(Master_Orders!D2:D174, "2026-06-24", Master_Orders!J2:J174, "COD")</f>
        <v/>
      </c>
      <c r="D5" s="33">
        <f>COUNTIFS(Master_Orders!D2:D174, "2026-06-24", Master_Orders!J2:J174, "Partial COD")</f>
        <v/>
      </c>
      <c r="E5" s="33">
        <f>COUNTIFS(Master_Orders!D2:D174, "2026-06-24", Master_Orders!J2:J174, "Prepaid")</f>
        <v/>
      </c>
      <c r="F5" s="34">
        <f>SUMIF(Master_Orders!D2:D174, "2026-06-24", Master_Orders!E2:E174)</f>
        <v/>
      </c>
      <c r="G5" s="34">
        <f>SUMIFS(Master_Orders!E2:E174, Master_Orders!D2:D174, "2026-06-24", Master_Orders!J2:J174, "COD")</f>
        <v/>
      </c>
      <c r="H5" s="34">
        <f>SUMIFS(Master_Orders!E2:E174, Master_Orders!D2:D174, "2026-06-24", Master_Orders!J2:J174, "Partial COD")</f>
        <v/>
      </c>
      <c r="I5" s="34">
        <f>SUMIFS(Master_Orders!E2:E174, Master_Orders!D2:D174, "2026-06-24", Master_Orders!J2:J174, "Prepaid")</f>
        <v/>
      </c>
      <c r="J5" s="33">
        <f>COUNTIFS(Master_Orders!D2:D174, "2026-06-24", Master_Orders!K2:K174, "Delivered")</f>
        <v/>
      </c>
      <c r="K5" s="33">
        <f>COUNTIFS(Master_Orders!D2:D174, "2026-06-24", Master_Orders!K2:K174, "RTO / Returned")</f>
        <v/>
      </c>
      <c r="L5" s="33">
        <f>COUNTIFS(Master_Orders!D2:D174, "2026-06-24", Master_Orders!K2:K174, "Canceled")</f>
        <v/>
      </c>
      <c r="M5" s="33">
        <f>COUNTIFS(Master_Orders!D2:D174, "2026-06-24", Master_Orders!K2:K174, "In Transit")</f>
        <v/>
      </c>
    </row>
    <row r="6">
      <c r="A6" s="35" t="inlineStr">
        <is>
          <t>2026-06-25</t>
        </is>
      </c>
      <c r="B6" s="36">
        <f>COUNTIF(Master_Orders!D2:D174, "2026-06-25")</f>
        <v/>
      </c>
      <c r="C6" s="36">
        <f>COUNTIFS(Master_Orders!D2:D174, "2026-06-25", Master_Orders!J2:J174, "COD")</f>
        <v/>
      </c>
      <c r="D6" s="36">
        <f>COUNTIFS(Master_Orders!D2:D174, "2026-06-25", Master_Orders!J2:J174, "Partial COD")</f>
        <v/>
      </c>
      <c r="E6" s="36">
        <f>COUNTIFS(Master_Orders!D2:D174, "2026-06-25", Master_Orders!J2:J174, "Prepaid")</f>
        <v/>
      </c>
      <c r="F6" s="37">
        <f>SUMIF(Master_Orders!D2:D174, "2026-06-25", Master_Orders!E2:E174)</f>
        <v/>
      </c>
      <c r="G6" s="37">
        <f>SUMIFS(Master_Orders!E2:E174, Master_Orders!D2:D174, "2026-06-25", Master_Orders!J2:J174, "COD")</f>
        <v/>
      </c>
      <c r="H6" s="37">
        <f>SUMIFS(Master_Orders!E2:E174, Master_Orders!D2:D174, "2026-06-25", Master_Orders!J2:J174, "Partial COD")</f>
        <v/>
      </c>
      <c r="I6" s="37">
        <f>SUMIFS(Master_Orders!E2:E174, Master_Orders!D2:D174, "2026-06-25", Master_Orders!J2:J174, "Prepaid")</f>
        <v/>
      </c>
      <c r="J6" s="36">
        <f>COUNTIFS(Master_Orders!D2:D174, "2026-06-25", Master_Orders!K2:K174, "Delivered")</f>
        <v/>
      </c>
      <c r="K6" s="36">
        <f>COUNTIFS(Master_Orders!D2:D174, "2026-06-25", Master_Orders!K2:K174, "RTO / Returned")</f>
        <v/>
      </c>
      <c r="L6" s="36">
        <f>COUNTIFS(Master_Orders!D2:D174, "2026-06-25", Master_Orders!K2:K174, "Canceled")</f>
        <v/>
      </c>
      <c r="M6" s="36">
        <f>COUNTIFS(Master_Orders!D2:D174, "2026-06-25", Master_Orders!K2:K174, "In Transit")</f>
        <v/>
      </c>
    </row>
    <row r="7">
      <c r="A7" s="32" t="inlineStr">
        <is>
          <t>2026-06-27</t>
        </is>
      </c>
      <c r="B7" s="33">
        <f>COUNTIF(Master_Orders!D2:D174, "2026-06-27")</f>
        <v/>
      </c>
      <c r="C7" s="33">
        <f>COUNTIFS(Master_Orders!D2:D174, "2026-06-27", Master_Orders!J2:J174, "COD")</f>
        <v/>
      </c>
      <c r="D7" s="33">
        <f>COUNTIFS(Master_Orders!D2:D174, "2026-06-27", Master_Orders!J2:J174, "Partial COD")</f>
        <v/>
      </c>
      <c r="E7" s="33">
        <f>COUNTIFS(Master_Orders!D2:D174, "2026-06-27", Master_Orders!J2:J174, "Prepaid")</f>
        <v/>
      </c>
      <c r="F7" s="34">
        <f>SUMIF(Master_Orders!D2:D174, "2026-06-27", Master_Orders!E2:E174)</f>
        <v/>
      </c>
      <c r="G7" s="34">
        <f>SUMIFS(Master_Orders!E2:E174, Master_Orders!D2:D174, "2026-06-27", Master_Orders!J2:J174, "COD")</f>
        <v/>
      </c>
      <c r="H7" s="34">
        <f>SUMIFS(Master_Orders!E2:E174, Master_Orders!D2:D174, "2026-06-27", Master_Orders!J2:J174, "Partial COD")</f>
        <v/>
      </c>
      <c r="I7" s="34">
        <f>SUMIFS(Master_Orders!E2:E174, Master_Orders!D2:D174, "2026-06-27", Master_Orders!J2:J174, "Prepaid")</f>
        <v/>
      </c>
      <c r="J7" s="33">
        <f>COUNTIFS(Master_Orders!D2:D174, "2026-06-27", Master_Orders!K2:K174, "Delivered")</f>
        <v/>
      </c>
      <c r="K7" s="33">
        <f>COUNTIFS(Master_Orders!D2:D174, "2026-06-27", Master_Orders!K2:K174, "RTO / Returned")</f>
        <v/>
      </c>
      <c r="L7" s="33">
        <f>COUNTIFS(Master_Orders!D2:D174, "2026-06-27", Master_Orders!K2:K174, "Canceled")</f>
        <v/>
      </c>
      <c r="M7" s="33">
        <f>COUNTIFS(Master_Orders!D2:D174, "2026-06-27", Master_Orders!K2:K174, "In Transit")</f>
        <v/>
      </c>
    </row>
    <row r="8">
      <c r="A8" s="35" t="inlineStr">
        <is>
          <t>2026-06-28</t>
        </is>
      </c>
      <c r="B8" s="36">
        <f>COUNTIF(Master_Orders!D2:D174, "2026-06-28")</f>
        <v/>
      </c>
      <c r="C8" s="36">
        <f>COUNTIFS(Master_Orders!D2:D174, "2026-06-28", Master_Orders!J2:J174, "COD")</f>
        <v/>
      </c>
      <c r="D8" s="36">
        <f>COUNTIFS(Master_Orders!D2:D174, "2026-06-28", Master_Orders!J2:J174, "Partial COD")</f>
        <v/>
      </c>
      <c r="E8" s="36">
        <f>COUNTIFS(Master_Orders!D2:D174, "2026-06-28", Master_Orders!J2:J174, "Prepaid")</f>
        <v/>
      </c>
      <c r="F8" s="37">
        <f>SUMIF(Master_Orders!D2:D174, "2026-06-28", Master_Orders!E2:E174)</f>
        <v/>
      </c>
      <c r="G8" s="37">
        <f>SUMIFS(Master_Orders!E2:E174, Master_Orders!D2:D174, "2026-06-28", Master_Orders!J2:J174, "COD")</f>
        <v/>
      </c>
      <c r="H8" s="37">
        <f>SUMIFS(Master_Orders!E2:E174, Master_Orders!D2:D174, "2026-06-28", Master_Orders!J2:J174, "Partial COD")</f>
        <v/>
      </c>
      <c r="I8" s="37">
        <f>SUMIFS(Master_Orders!E2:E174, Master_Orders!D2:D174, "2026-06-28", Master_Orders!J2:J174, "Prepaid")</f>
        <v/>
      </c>
      <c r="J8" s="36">
        <f>COUNTIFS(Master_Orders!D2:D174, "2026-06-28", Master_Orders!K2:K174, "Delivered")</f>
        <v/>
      </c>
      <c r="K8" s="36">
        <f>COUNTIFS(Master_Orders!D2:D174, "2026-06-28", Master_Orders!K2:K174, "RTO / Returned")</f>
        <v/>
      </c>
      <c r="L8" s="36">
        <f>COUNTIFS(Master_Orders!D2:D174, "2026-06-28", Master_Orders!K2:K174, "Canceled")</f>
        <v/>
      </c>
      <c r="M8" s="36">
        <f>COUNTIFS(Master_Orders!D2:D174, "2026-06-28", Master_Orders!K2:K174, "In Transit")</f>
        <v/>
      </c>
    </row>
    <row r="9">
      <c r="A9" s="32" t="inlineStr">
        <is>
          <t>2026-06-29</t>
        </is>
      </c>
      <c r="B9" s="33">
        <f>COUNTIF(Master_Orders!D2:D174, "2026-06-29")</f>
        <v/>
      </c>
      <c r="C9" s="33">
        <f>COUNTIFS(Master_Orders!D2:D174, "2026-06-29", Master_Orders!J2:J174, "COD")</f>
        <v/>
      </c>
      <c r="D9" s="33">
        <f>COUNTIFS(Master_Orders!D2:D174, "2026-06-29", Master_Orders!J2:J174, "Partial COD")</f>
        <v/>
      </c>
      <c r="E9" s="33">
        <f>COUNTIFS(Master_Orders!D2:D174, "2026-06-29", Master_Orders!J2:J174, "Prepaid")</f>
        <v/>
      </c>
      <c r="F9" s="34">
        <f>SUMIF(Master_Orders!D2:D174, "2026-06-29", Master_Orders!E2:E174)</f>
        <v/>
      </c>
      <c r="G9" s="34">
        <f>SUMIFS(Master_Orders!E2:E174, Master_Orders!D2:D174, "2026-06-29", Master_Orders!J2:J174, "COD")</f>
        <v/>
      </c>
      <c r="H9" s="34">
        <f>SUMIFS(Master_Orders!E2:E174, Master_Orders!D2:D174, "2026-06-29", Master_Orders!J2:J174, "Partial COD")</f>
        <v/>
      </c>
      <c r="I9" s="34">
        <f>SUMIFS(Master_Orders!E2:E174, Master_Orders!D2:D174, "2026-06-29", Master_Orders!J2:J174, "Prepaid")</f>
        <v/>
      </c>
      <c r="J9" s="33">
        <f>COUNTIFS(Master_Orders!D2:D174, "2026-06-29", Master_Orders!K2:K174, "Delivered")</f>
        <v/>
      </c>
      <c r="K9" s="33">
        <f>COUNTIFS(Master_Orders!D2:D174, "2026-06-29", Master_Orders!K2:K174, "RTO / Returned")</f>
        <v/>
      </c>
      <c r="L9" s="33">
        <f>COUNTIFS(Master_Orders!D2:D174, "2026-06-29", Master_Orders!K2:K174, "Canceled")</f>
        <v/>
      </c>
      <c r="M9" s="33">
        <f>COUNTIFS(Master_Orders!D2:D174, "2026-06-29", Master_Orders!K2:K174, "In Transit")</f>
        <v/>
      </c>
    </row>
    <row r="10">
      <c r="A10" s="35" t="inlineStr">
        <is>
          <t>2026-06-30</t>
        </is>
      </c>
      <c r="B10" s="36">
        <f>COUNTIF(Master_Orders!D2:D174, "2026-06-30")</f>
        <v/>
      </c>
      <c r="C10" s="36">
        <f>COUNTIFS(Master_Orders!D2:D174, "2026-06-30", Master_Orders!J2:J174, "COD")</f>
        <v/>
      </c>
      <c r="D10" s="36">
        <f>COUNTIFS(Master_Orders!D2:D174, "2026-06-30", Master_Orders!J2:J174, "Partial COD")</f>
        <v/>
      </c>
      <c r="E10" s="36">
        <f>COUNTIFS(Master_Orders!D2:D174, "2026-06-30", Master_Orders!J2:J174, "Prepaid")</f>
        <v/>
      </c>
      <c r="F10" s="37">
        <f>SUMIF(Master_Orders!D2:D174, "2026-06-30", Master_Orders!E2:E174)</f>
        <v/>
      </c>
      <c r="G10" s="37">
        <f>SUMIFS(Master_Orders!E2:E174, Master_Orders!D2:D174, "2026-06-30", Master_Orders!J2:J174, "COD")</f>
        <v/>
      </c>
      <c r="H10" s="37">
        <f>SUMIFS(Master_Orders!E2:E174, Master_Orders!D2:D174, "2026-06-30", Master_Orders!J2:J174, "Partial COD")</f>
        <v/>
      </c>
      <c r="I10" s="37">
        <f>SUMIFS(Master_Orders!E2:E174, Master_Orders!D2:D174, "2026-06-30", Master_Orders!J2:J174, "Prepaid")</f>
        <v/>
      </c>
      <c r="J10" s="36">
        <f>COUNTIFS(Master_Orders!D2:D174, "2026-06-30", Master_Orders!K2:K174, "Delivered")</f>
        <v/>
      </c>
      <c r="K10" s="36">
        <f>COUNTIFS(Master_Orders!D2:D174, "2026-06-30", Master_Orders!K2:K174, "RTO / Returned")</f>
        <v/>
      </c>
      <c r="L10" s="36">
        <f>COUNTIFS(Master_Orders!D2:D174, "2026-06-30", Master_Orders!K2:K174, "Canceled")</f>
        <v/>
      </c>
      <c r="M10" s="36">
        <f>COUNTIFS(Master_Orders!D2:D174, "2026-06-30", Master_Orders!K2:K174, "In Transit")</f>
        <v/>
      </c>
    </row>
    <row r="11">
      <c r="A11" s="32" t="inlineStr">
        <is>
          <t>2026-07-01</t>
        </is>
      </c>
      <c r="B11" s="33">
        <f>COUNTIF(Master_Orders!D2:D174, "2026-07-01")</f>
        <v/>
      </c>
      <c r="C11" s="33">
        <f>COUNTIFS(Master_Orders!D2:D174, "2026-07-01", Master_Orders!J2:J174, "COD")</f>
        <v/>
      </c>
      <c r="D11" s="33">
        <f>COUNTIFS(Master_Orders!D2:D174, "2026-07-01", Master_Orders!J2:J174, "Partial COD")</f>
        <v/>
      </c>
      <c r="E11" s="33">
        <f>COUNTIFS(Master_Orders!D2:D174, "2026-07-01", Master_Orders!J2:J174, "Prepaid")</f>
        <v/>
      </c>
      <c r="F11" s="34">
        <f>SUMIF(Master_Orders!D2:D174, "2026-07-01", Master_Orders!E2:E174)</f>
        <v/>
      </c>
      <c r="G11" s="34">
        <f>SUMIFS(Master_Orders!E2:E174, Master_Orders!D2:D174, "2026-07-01", Master_Orders!J2:J174, "COD")</f>
        <v/>
      </c>
      <c r="H11" s="34">
        <f>SUMIFS(Master_Orders!E2:E174, Master_Orders!D2:D174, "2026-07-01", Master_Orders!J2:J174, "Partial COD")</f>
        <v/>
      </c>
      <c r="I11" s="34">
        <f>SUMIFS(Master_Orders!E2:E174, Master_Orders!D2:D174, "2026-07-01", Master_Orders!J2:J174, "Prepaid")</f>
        <v/>
      </c>
      <c r="J11" s="33">
        <f>COUNTIFS(Master_Orders!D2:D174, "2026-07-01", Master_Orders!K2:K174, "Delivered")</f>
        <v/>
      </c>
      <c r="K11" s="33">
        <f>COUNTIFS(Master_Orders!D2:D174, "2026-07-01", Master_Orders!K2:K174, "RTO / Returned")</f>
        <v/>
      </c>
      <c r="L11" s="33">
        <f>COUNTIFS(Master_Orders!D2:D174, "2026-07-01", Master_Orders!K2:K174, "Canceled")</f>
        <v/>
      </c>
      <c r="M11" s="33">
        <f>COUNTIFS(Master_Orders!D2:D174, "2026-07-01", Master_Orders!K2:K174, "In Transit")</f>
        <v/>
      </c>
    </row>
    <row r="12">
      <c r="A12" s="35" t="inlineStr">
        <is>
          <t>2026-07-02</t>
        </is>
      </c>
      <c r="B12" s="36">
        <f>COUNTIF(Master_Orders!D2:D174, "2026-07-02")</f>
        <v/>
      </c>
      <c r="C12" s="36">
        <f>COUNTIFS(Master_Orders!D2:D174, "2026-07-02", Master_Orders!J2:J174, "COD")</f>
        <v/>
      </c>
      <c r="D12" s="36">
        <f>COUNTIFS(Master_Orders!D2:D174, "2026-07-02", Master_Orders!J2:J174, "Partial COD")</f>
        <v/>
      </c>
      <c r="E12" s="36">
        <f>COUNTIFS(Master_Orders!D2:D174, "2026-07-02", Master_Orders!J2:J174, "Prepaid")</f>
        <v/>
      </c>
      <c r="F12" s="37">
        <f>SUMIF(Master_Orders!D2:D174, "2026-07-02", Master_Orders!E2:E174)</f>
        <v/>
      </c>
      <c r="G12" s="37">
        <f>SUMIFS(Master_Orders!E2:E174, Master_Orders!D2:D174, "2026-07-02", Master_Orders!J2:J174, "COD")</f>
        <v/>
      </c>
      <c r="H12" s="37">
        <f>SUMIFS(Master_Orders!E2:E174, Master_Orders!D2:D174, "2026-07-02", Master_Orders!J2:J174, "Partial COD")</f>
        <v/>
      </c>
      <c r="I12" s="37">
        <f>SUMIFS(Master_Orders!E2:E174, Master_Orders!D2:D174, "2026-07-02", Master_Orders!J2:J174, "Prepaid")</f>
        <v/>
      </c>
      <c r="J12" s="36">
        <f>COUNTIFS(Master_Orders!D2:D174, "2026-07-02", Master_Orders!K2:K174, "Delivered")</f>
        <v/>
      </c>
      <c r="K12" s="36">
        <f>COUNTIFS(Master_Orders!D2:D174, "2026-07-02", Master_Orders!K2:K174, "RTO / Returned")</f>
        <v/>
      </c>
      <c r="L12" s="36">
        <f>COUNTIFS(Master_Orders!D2:D174, "2026-07-02", Master_Orders!K2:K174, "Canceled")</f>
        <v/>
      </c>
      <c r="M12" s="36">
        <f>COUNTIFS(Master_Orders!D2:D174, "2026-07-02", Master_Orders!K2:K174, "In Transit")</f>
        <v/>
      </c>
    </row>
    <row r="13">
      <c r="A13" s="32" t="inlineStr">
        <is>
          <t>2026-07-03</t>
        </is>
      </c>
      <c r="B13" s="33">
        <f>COUNTIF(Master_Orders!D2:D174, "2026-07-03")</f>
        <v/>
      </c>
      <c r="C13" s="33">
        <f>COUNTIFS(Master_Orders!D2:D174, "2026-07-03", Master_Orders!J2:J174, "COD")</f>
        <v/>
      </c>
      <c r="D13" s="33">
        <f>COUNTIFS(Master_Orders!D2:D174, "2026-07-03", Master_Orders!J2:J174, "Partial COD")</f>
        <v/>
      </c>
      <c r="E13" s="33">
        <f>COUNTIFS(Master_Orders!D2:D174, "2026-07-03", Master_Orders!J2:J174, "Prepaid")</f>
        <v/>
      </c>
      <c r="F13" s="34">
        <f>SUMIF(Master_Orders!D2:D174, "2026-07-03", Master_Orders!E2:E174)</f>
        <v/>
      </c>
      <c r="G13" s="34">
        <f>SUMIFS(Master_Orders!E2:E174, Master_Orders!D2:D174, "2026-07-03", Master_Orders!J2:J174, "COD")</f>
        <v/>
      </c>
      <c r="H13" s="34">
        <f>SUMIFS(Master_Orders!E2:E174, Master_Orders!D2:D174, "2026-07-03", Master_Orders!J2:J174, "Partial COD")</f>
        <v/>
      </c>
      <c r="I13" s="34">
        <f>SUMIFS(Master_Orders!E2:E174, Master_Orders!D2:D174, "2026-07-03", Master_Orders!J2:J174, "Prepaid")</f>
        <v/>
      </c>
      <c r="J13" s="33">
        <f>COUNTIFS(Master_Orders!D2:D174, "2026-07-03", Master_Orders!K2:K174, "Delivered")</f>
        <v/>
      </c>
      <c r="K13" s="33">
        <f>COUNTIFS(Master_Orders!D2:D174, "2026-07-03", Master_Orders!K2:K174, "RTO / Returned")</f>
        <v/>
      </c>
      <c r="L13" s="33">
        <f>COUNTIFS(Master_Orders!D2:D174, "2026-07-03", Master_Orders!K2:K174, "Canceled")</f>
        <v/>
      </c>
      <c r="M13" s="33">
        <f>COUNTIFS(Master_Orders!D2:D174, "2026-07-03", Master_Orders!K2:K174, "In Transit")</f>
        <v/>
      </c>
    </row>
    <row r="14">
      <c r="A14" s="35" t="inlineStr">
        <is>
          <t>2026-07-04</t>
        </is>
      </c>
      <c r="B14" s="36">
        <f>COUNTIF(Master_Orders!D2:D174, "2026-07-04")</f>
        <v/>
      </c>
      <c r="C14" s="36">
        <f>COUNTIFS(Master_Orders!D2:D174, "2026-07-04", Master_Orders!J2:J174, "COD")</f>
        <v/>
      </c>
      <c r="D14" s="36">
        <f>COUNTIFS(Master_Orders!D2:D174, "2026-07-04", Master_Orders!J2:J174, "Partial COD")</f>
        <v/>
      </c>
      <c r="E14" s="36">
        <f>COUNTIFS(Master_Orders!D2:D174, "2026-07-04", Master_Orders!J2:J174, "Prepaid")</f>
        <v/>
      </c>
      <c r="F14" s="37">
        <f>SUMIF(Master_Orders!D2:D174, "2026-07-04", Master_Orders!E2:E174)</f>
        <v/>
      </c>
      <c r="G14" s="37">
        <f>SUMIFS(Master_Orders!E2:E174, Master_Orders!D2:D174, "2026-07-04", Master_Orders!J2:J174, "COD")</f>
        <v/>
      </c>
      <c r="H14" s="37">
        <f>SUMIFS(Master_Orders!E2:E174, Master_Orders!D2:D174, "2026-07-04", Master_Orders!J2:J174, "Partial COD")</f>
        <v/>
      </c>
      <c r="I14" s="37">
        <f>SUMIFS(Master_Orders!E2:E174, Master_Orders!D2:D174, "2026-07-04", Master_Orders!J2:J174, "Prepaid")</f>
        <v/>
      </c>
      <c r="J14" s="36">
        <f>COUNTIFS(Master_Orders!D2:D174, "2026-07-04", Master_Orders!K2:K174, "Delivered")</f>
        <v/>
      </c>
      <c r="K14" s="36">
        <f>COUNTIFS(Master_Orders!D2:D174, "2026-07-04", Master_Orders!K2:K174, "RTO / Returned")</f>
        <v/>
      </c>
      <c r="L14" s="36">
        <f>COUNTIFS(Master_Orders!D2:D174, "2026-07-04", Master_Orders!K2:K174, "Canceled")</f>
        <v/>
      </c>
      <c r="M14" s="36">
        <f>COUNTIFS(Master_Orders!D2:D174, "2026-07-04", Master_Orders!K2:K174, "In Transit")</f>
        <v/>
      </c>
    </row>
    <row r="15">
      <c r="A15" s="32" t="inlineStr">
        <is>
          <t>2026-07-05</t>
        </is>
      </c>
      <c r="B15" s="33">
        <f>COUNTIF(Master_Orders!D2:D174, "2026-07-05")</f>
        <v/>
      </c>
      <c r="C15" s="33">
        <f>COUNTIFS(Master_Orders!D2:D174, "2026-07-05", Master_Orders!J2:J174, "COD")</f>
        <v/>
      </c>
      <c r="D15" s="33">
        <f>COUNTIFS(Master_Orders!D2:D174, "2026-07-05", Master_Orders!J2:J174, "Partial COD")</f>
        <v/>
      </c>
      <c r="E15" s="33">
        <f>COUNTIFS(Master_Orders!D2:D174, "2026-07-05", Master_Orders!J2:J174, "Prepaid")</f>
        <v/>
      </c>
      <c r="F15" s="34">
        <f>SUMIF(Master_Orders!D2:D174, "2026-07-05", Master_Orders!E2:E174)</f>
        <v/>
      </c>
      <c r="G15" s="34">
        <f>SUMIFS(Master_Orders!E2:E174, Master_Orders!D2:D174, "2026-07-05", Master_Orders!J2:J174, "COD")</f>
        <v/>
      </c>
      <c r="H15" s="34">
        <f>SUMIFS(Master_Orders!E2:E174, Master_Orders!D2:D174, "2026-07-05", Master_Orders!J2:J174, "Partial COD")</f>
        <v/>
      </c>
      <c r="I15" s="34">
        <f>SUMIFS(Master_Orders!E2:E174, Master_Orders!D2:D174, "2026-07-05", Master_Orders!J2:J174, "Prepaid")</f>
        <v/>
      </c>
      <c r="J15" s="33">
        <f>COUNTIFS(Master_Orders!D2:D174, "2026-07-05", Master_Orders!K2:K174, "Delivered")</f>
        <v/>
      </c>
      <c r="K15" s="33">
        <f>COUNTIFS(Master_Orders!D2:D174, "2026-07-05", Master_Orders!K2:K174, "RTO / Returned")</f>
        <v/>
      </c>
      <c r="L15" s="33">
        <f>COUNTIFS(Master_Orders!D2:D174, "2026-07-05", Master_Orders!K2:K174, "Canceled")</f>
        <v/>
      </c>
      <c r="M15" s="33">
        <f>COUNTIFS(Master_Orders!D2:D174, "2026-07-05", Master_Orders!K2:K174, "In Transit")</f>
        <v/>
      </c>
    </row>
    <row r="16">
      <c r="A16" s="35" t="inlineStr">
        <is>
          <t>2026-07-06</t>
        </is>
      </c>
      <c r="B16" s="36">
        <f>COUNTIF(Master_Orders!D2:D174, "2026-07-06")</f>
        <v/>
      </c>
      <c r="C16" s="36">
        <f>COUNTIFS(Master_Orders!D2:D174, "2026-07-06", Master_Orders!J2:J174, "COD")</f>
        <v/>
      </c>
      <c r="D16" s="36">
        <f>COUNTIFS(Master_Orders!D2:D174, "2026-07-06", Master_Orders!J2:J174, "Partial COD")</f>
        <v/>
      </c>
      <c r="E16" s="36">
        <f>COUNTIFS(Master_Orders!D2:D174, "2026-07-06", Master_Orders!J2:J174, "Prepaid")</f>
        <v/>
      </c>
      <c r="F16" s="37">
        <f>SUMIF(Master_Orders!D2:D174, "2026-07-06", Master_Orders!E2:E174)</f>
        <v/>
      </c>
      <c r="G16" s="37">
        <f>SUMIFS(Master_Orders!E2:E174, Master_Orders!D2:D174, "2026-07-06", Master_Orders!J2:J174, "COD")</f>
        <v/>
      </c>
      <c r="H16" s="37">
        <f>SUMIFS(Master_Orders!E2:E174, Master_Orders!D2:D174, "2026-07-06", Master_Orders!J2:J174, "Partial COD")</f>
        <v/>
      </c>
      <c r="I16" s="37">
        <f>SUMIFS(Master_Orders!E2:E174, Master_Orders!D2:D174, "2026-07-06", Master_Orders!J2:J174, "Prepaid")</f>
        <v/>
      </c>
      <c r="J16" s="36">
        <f>COUNTIFS(Master_Orders!D2:D174, "2026-07-06", Master_Orders!K2:K174, "Delivered")</f>
        <v/>
      </c>
      <c r="K16" s="36">
        <f>COUNTIFS(Master_Orders!D2:D174, "2026-07-06", Master_Orders!K2:K174, "RTO / Returned")</f>
        <v/>
      </c>
      <c r="L16" s="36">
        <f>COUNTIFS(Master_Orders!D2:D174, "2026-07-06", Master_Orders!K2:K174, "Canceled")</f>
        <v/>
      </c>
      <c r="M16" s="36">
        <f>COUNTIFS(Master_Orders!D2:D174, "2026-07-06", Master_Orders!K2:K174, "In Transit")</f>
        <v/>
      </c>
    </row>
    <row r="17">
      <c r="A17" s="32" t="inlineStr">
        <is>
          <t>2026-07-07</t>
        </is>
      </c>
      <c r="B17" s="33">
        <f>COUNTIF(Master_Orders!D2:D174, "2026-07-07")</f>
        <v/>
      </c>
      <c r="C17" s="33">
        <f>COUNTIFS(Master_Orders!D2:D174, "2026-07-07", Master_Orders!J2:J174, "COD")</f>
        <v/>
      </c>
      <c r="D17" s="33">
        <f>COUNTIFS(Master_Orders!D2:D174, "2026-07-07", Master_Orders!J2:J174, "Partial COD")</f>
        <v/>
      </c>
      <c r="E17" s="33">
        <f>COUNTIFS(Master_Orders!D2:D174, "2026-07-07", Master_Orders!J2:J174, "Prepaid")</f>
        <v/>
      </c>
      <c r="F17" s="34">
        <f>SUMIF(Master_Orders!D2:D174, "2026-07-07", Master_Orders!E2:E174)</f>
        <v/>
      </c>
      <c r="G17" s="34">
        <f>SUMIFS(Master_Orders!E2:E174, Master_Orders!D2:D174, "2026-07-07", Master_Orders!J2:J174, "COD")</f>
        <v/>
      </c>
      <c r="H17" s="34">
        <f>SUMIFS(Master_Orders!E2:E174, Master_Orders!D2:D174, "2026-07-07", Master_Orders!J2:J174, "Partial COD")</f>
        <v/>
      </c>
      <c r="I17" s="34">
        <f>SUMIFS(Master_Orders!E2:E174, Master_Orders!D2:D174, "2026-07-07", Master_Orders!J2:J174, "Prepaid")</f>
        <v/>
      </c>
      <c r="J17" s="33">
        <f>COUNTIFS(Master_Orders!D2:D174, "2026-07-07", Master_Orders!K2:K174, "Delivered")</f>
        <v/>
      </c>
      <c r="K17" s="33">
        <f>COUNTIFS(Master_Orders!D2:D174, "2026-07-07", Master_Orders!K2:K174, "RTO / Returned")</f>
        <v/>
      </c>
      <c r="L17" s="33">
        <f>COUNTIFS(Master_Orders!D2:D174, "2026-07-07", Master_Orders!K2:K174, "Canceled")</f>
        <v/>
      </c>
      <c r="M17" s="33">
        <f>COUNTIFS(Master_Orders!D2:D174, "2026-07-07", Master_Orders!K2:K174, "In Transit")</f>
        <v/>
      </c>
    </row>
    <row r="18">
      <c r="A18" s="35" t="inlineStr">
        <is>
          <t>2026-07-08</t>
        </is>
      </c>
      <c r="B18" s="36">
        <f>COUNTIF(Master_Orders!D2:D174, "2026-07-08")</f>
        <v/>
      </c>
      <c r="C18" s="36">
        <f>COUNTIFS(Master_Orders!D2:D174, "2026-07-08", Master_Orders!J2:J174, "COD")</f>
        <v/>
      </c>
      <c r="D18" s="36">
        <f>COUNTIFS(Master_Orders!D2:D174, "2026-07-08", Master_Orders!J2:J174, "Partial COD")</f>
        <v/>
      </c>
      <c r="E18" s="36">
        <f>COUNTIFS(Master_Orders!D2:D174, "2026-07-08", Master_Orders!J2:J174, "Prepaid")</f>
        <v/>
      </c>
      <c r="F18" s="37">
        <f>SUMIF(Master_Orders!D2:D174, "2026-07-08", Master_Orders!E2:E174)</f>
        <v/>
      </c>
      <c r="G18" s="37">
        <f>SUMIFS(Master_Orders!E2:E174, Master_Orders!D2:D174, "2026-07-08", Master_Orders!J2:J174, "COD")</f>
        <v/>
      </c>
      <c r="H18" s="37">
        <f>SUMIFS(Master_Orders!E2:E174, Master_Orders!D2:D174, "2026-07-08", Master_Orders!J2:J174, "Partial COD")</f>
        <v/>
      </c>
      <c r="I18" s="37">
        <f>SUMIFS(Master_Orders!E2:E174, Master_Orders!D2:D174, "2026-07-08", Master_Orders!J2:J174, "Prepaid")</f>
        <v/>
      </c>
      <c r="J18" s="36">
        <f>COUNTIFS(Master_Orders!D2:D174, "2026-07-08", Master_Orders!K2:K174, "Delivered")</f>
        <v/>
      </c>
      <c r="K18" s="36">
        <f>COUNTIFS(Master_Orders!D2:D174, "2026-07-08", Master_Orders!K2:K174, "RTO / Returned")</f>
        <v/>
      </c>
      <c r="L18" s="36">
        <f>COUNTIFS(Master_Orders!D2:D174, "2026-07-08", Master_Orders!K2:K174, "Canceled")</f>
        <v/>
      </c>
      <c r="M18" s="36">
        <f>COUNTIFS(Master_Orders!D2:D174, "2026-07-08", Master_Orders!K2:K174, "In Transit")</f>
        <v/>
      </c>
    </row>
    <row r="19">
      <c r="A19" s="32" t="inlineStr">
        <is>
          <t>2026-07-09</t>
        </is>
      </c>
      <c r="B19" s="33">
        <f>COUNTIF(Master_Orders!D2:D174, "2026-07-09")</f>
        <v/>
      </c>
      <c r="C19" s="33">
        <f>COUNTIFS(Master_Orders!D2:D174, "2026-07-09", Master_Orders!J2:J174, "COD")</f>
        <v/>
      </c>
      <c r="D19" s="33">
        <f>COUNTIFS(Master_Orders!D2:D174, "2026-07-09", Master_Orders!J2:J174, "Partial COD")</f>
        <v/>
      </c>
      <c r="E19" s="33">
        <f>COUNTIFS(Master_Orders!D2:D174, "2026-07-09", Master_Orders!J2:J174, "Prepaid")</f>
        <v/>
      </c>
      <c r="F19" s="34">
        <f>SUMIF(Master_Orders!D2:D174, "2026-07-09", Master_Orders!E2:E174)</f>
        <v/>
      </c>
      <c r="G19" s="34">
        <f>SUMIFS(Master_Orders!E2:E174, Master_Orders!D2:D174, "2026-07-09", Master_Orders!J2:J174, "COD")</f>
        <v/>
      </c>
      <c r="H19" s="34">
        <f>SUMIFS(Master_Orders!E2:E174, Master_Orders!D2:D174, "2026-07-09", Master_Orders!J2:J174, "Partial COD")</f>
        <v/>
      </c>
      <c r="I19" s="34">
        <f>SUMIFS(Master_Orders!E2:E174, Master_Orders!D2:D174, "2026-07-09", Master_Orders!J2:J174, "Prepaid")</f>
        <v/>
      </c>
      <c r="J19" s="33">
        <f>COUNTIFS(Master_Orders!D2:D174, "2026-07-09", Master_Orders!K2:K174, "Delivered")</f>
        <v/>
      </c>
      <c r="K19" s="33">
        <f>COUNTIFS(Master_Orders!D2:D174, "2026-07-09", Master_Orders!K2:K174, "RTO / Returned")</f>
        <v/>
      </c>
      <c r="L19" s="33">
        <f>COUNTIFS(Master_Orders!D2:D174, "2026-07-09", Master_Orders!K2:K174, "Canceled")</f>
        <v/>
      </c>
      <c r="M19" s="33">
        <f>COUNTIFS(Master_Orders!D2:D174, "2026-07-09", Master_Orders!K2:K174, "In Transit")</f>
        <v/>
      </c>
    </row>
    <row r="20">
      <c r="A20" s="35" t="inlineStr">
        <is>
          <t>2026-07-10</t>
        </is>
      </c>
      <c r="B20" s="36">
        <f>COUNTIF(Master_Orders!D2:D174, "2026-07-10")</f>
        <v/>
      </c>
      <c r="C20" s="36">
        <f>COUNTIFS(Master_Orders!D2:D174, "2026-07-10", Master_Orders!J2:J174, "COD")</f>
        <v/>
      </c>
      <c r="D20" s="36">
        <f>COUNTIFS(Master_Orders!D2:D174, "2026-07-10", Master_Orders!J2:J174, "Partial COD")</f>
        <v/>
      </c>
      <c r="E20" s="36">
        <f>COUNTIFS(Master_Orders!D2:D174, "2026-07-10", Master_Orders!J2:J174, "Prepaid")</f>
        <v/>
      </c>
      <c r="F20" s="37">
        <f>SUMIF(Master_Orders!D2:D174, "2026-07-10", Master_Orders!E2:E174)</f>
        <v/>
      </c>
      <c r="G20" s="37">
        <f>SUMIFS(Master_Orders!E2:E174, Master_Orders!D2:D174, "2026-07-10", Master_Orders!J2:J174, "COD")</f>
        <v/>
      </c>
      <c r="H20" s="37">
        <f>SUMIFS(Master_Orders!E2:E174, Master_Orders!D2:D174, "2026-07-10", Master_Orders!J2:J174, "Partial COD")</f>
        <v/>
      </c>
      <c r="I20" s="37">
        <f>SUMIFS(Master_Orders!E2:E174, Master_Orders!D2:D174, "2026-07-10", Master_Orders!J2:J174, "Prepaid")</f>
        <v/>
      </c>
      <c r="J20" s="36">
        <f>COUNTIFS(Master_Orders!D2:D174, "2026-07-10", Master_Orders!K2:K174, "Delivered")</f>
        <v/>
      </c>
      <c r="K20" s="36">
        <f>COUNTIFS(Master_Orders!D2:D174, "2026-07-10", Master_Orders!K2:K174, "RTO / Returned")</f>
        <v/>
      </c>
      <c r="L20" s="36">
        <f>COUNTIFS(Master_Orders!D2:D174, "2026-07-10", Master_Orders!K2:K174, "Canceled")</f>
        <v/>
      </c>
      <c r="M20" s="36">
        <f>COUNTIFS(Master_Orders!D2:D174, "2026-07-10", Master_Orders!K2:K174, "In Transit")</f>
        <v/>
      </c>
    </row>
    <row r="21">
      <c r="A21" s="32" t="inlineStr">
        <is>
          <t>2026-07-11</t>
        </is>
      </c>
      <c r="B21" s="33">
        <f>COUNTIF(Master_Orders!D2:D174, "2026-07-11")</f>
        <v/>
      </c>
      <c r="C21" s="33">
        <f>COUNTIFS(Master_Orders!D2:D174, "2026-07-11", Master_Orders!J2:J174, "COD")</f>
        <v/>
      </c>
      <c r="D21" s="33">
        <f>COUNTIFS(Master_Orders!D2:D174, "2026-07-11", Master_Orders!J2:J174, "Partial COD")</f>
        <v/>
      </c>
      <c r="E21" s="33">
        <f>COUNTIFS(Master_Orders!D2:D174, "2026-07-11", Master_Orders!J2:J174, "Prepaid")</f>
        <v/>
      </c>
      <c r="F21" s="34">
        <f>SUMIF(Master_Orders!D2:D174, "2026-07-11", Master_Orders!E2:E174)</f>
        <v/>
      </c>
      <c r="G21" s="34">
        <f>SUMIFS(Master_Orders!E2:E174, Master_Orders!D2:D174, "2026-07-11", Master_Orders!J2:J174, "COD")</f>
        <v/>
      </c>
      <c r="H21" s="34">
        <f>SUMIFS(Master_Orders!E2:E174, Master_Orders!D2:D174, "2026-07-11", Master_Orders!J2:J174, "Partial COD")</f>
        <v/>
      </c>
      <c r="I21" s="34">
        <f>SUMIFS(Master_Orders!E2:E174, Master_Orders!D2:D174, "2026-07-11", Master_Orders!J2:J174, "Prepaid")</f>
        <v/>
      </c>
      <c r="J21" s="33">
        <f>COUNTIFS(Master_Orders!D2:D174, "2026-07-11", Master_Orders!K2:K174, "Delivered")</f>
        <v/>
      </c>
      <c r="K21" s="33">
        <f>COUNTIFS(Master_Orders!D2:D174, "2026-07-11", Master_Orders!K2:K174, "RTO / Returned")</f>
        <v/>
      </c>
      <c r="L21" s="33">
        <f>COUNTIFS(Master_Orders!D2:D174, "2026-07-11", Master_Orders!K2:K174, "Canceled")</f>
        <v/>
      </c>
      <c r="M21" s="33">
        <f>COUNTIFS(Master_Orders!D2:D174, "2026-07-11", Master_Orders!K2:K174, "In Transit")</f>
        <v/>
      </c>
    </row>
    <row r="22">
      <c r="A22" s="35" t="inlineStr">
        <is>
          <t>2026-07-12</t>
        </is>
      </c>
      <c r="B22" s="36">
        <f>COUNTIF(Master_Orders!D2:D174, "2026-07-12")</f>
        <v/>
      </c>
      <c r="C22" s="36">
        <f>COUNTIFS(Master_Orders!D2:D174, "2026-07-12", Master_Orders!J2:J174, "COD")</f>
        <v/>
      </c>
      <c r="D22" s="36">
        <f>COUNTIFS(Master_Orders!D2:D174, "2026-07-12", Master_Orders!J2:J174, "Partial COD")</f>
        <v/>
      </c>
      <c r="E22" s="36">
        <f>COUNTIFS(Master_Orders!D2:D174, "2026-07-12", Master_Orders!J2:J174, "Prepaid")</f>
        <v/>
      </c>
      <c r="F22" s="37">
        <f>SUMIF(Master_Orders!D2:D174, "2026-07-12", Master_Orders!E2:E174)</f>
        <v/>
      </c>
      <c r="G22" s="37">
        <f>SUMIFS(Master_Orders!E2:E174, Master_Orders!D2:D174, "2026-07-12", Master_Orders!J2:J174, "COD")</f>
        <v/>
      </c>
      <c r="H22" s="37">
        <f>SUMIFS(Master_Orders!E2:E174, Master_Orders!D2:D174, "2026-07-12", Master_Orders!J2:J174, "Partial COD")</f>
        <v/>
      </c>
      <c r="I22" s="37">
        <f>SUMIFS(Master_Orders!E2:E174, Master_Orders!D2:D174, "2026-07-12", Master_Orders!J2:J174, "Prepaid")</f>
        <v/>
      </c>
      <c r="J22" s="36">
        <f>COUNTIFS(Master_Orders!D2:D174, "2026-07-12", Master_Orders!K2:K174, "Delivered")</f>
        <v/>
      </c>
      <c r="K22" s="36">
        <f>COUNTIFS(Master_Orders!D2:D174, "2026-07-12", Master_Orders!K2:K174, "RTO / Returned")</f>
        <v/>
      </c>
      <c r="L22" s="36">
        <f>COUNTIFS(Master_Orders!D2:D174, "2026-07-12", Master_Orders!K2:K174, "Canceled")</f>
        <v/>
      </c>
      <c r="M22" s="36">
        <f>COUNTIFS(Master_Orders!D2:D174, "2026-07-12", Master_Orders!K2:K174, "In Transit")</f>
        <v/>
      </c>
    </row>
    <row r="23">
      <c r="A23" s="32" t="inlineStr">
        <is>
          <t>2026-07-13</t>
        </is>
      </c>
      <c r="B23" s="33">
        <f>COUNTIF(Master_Orders!D2:D174, "2026-07-13")</f>
        <v/>
      </c>
      <c r="C23" s="33">
        <f>COUNTIFS(Master_Orders!D2:D174, "2026-07-13", Master_Orders!J2:J174, "COD")</f>
        <v/>
      </c>
      <c r="D23" s="33">
        <f>COUNTIFS(Master_Orders!D2:D174, "2026-07-13", Master_Orders!J2:J174, "Partial COD")</f>
        <v/>
      </c>
      <c r="E23" s="33">
        <f>COUNTIFS(Master_Orders!D2:D174, "2026-07-13", Master_Orders!J2:J174, "Prepaid")</f>
        <v/>
      </c>
      <c r="F23" s="34">
        <f>SUMIF(Master_Orders!D2:D174, "2026-07-13", Master_Orders!E2:E174)</f>
        <v/>
      </c>
      <c r="G23" s="34">
        <f>SUMIFS(Master_Orders!E2:E174, Master_Orders!D2:D174, "2026-07-13", Master_Orders!J2:J174, "COD")</f>
        <v/>
      </c>
      <c r="H23" s="34">
        <f>SUMIFS(Master_Orders!E2:E174, Master_Orders!D2:D174, "2026-07-13", Master_Orders!J2:J174, "Partial COD")</f>
        <v/>
      </c>
      <c r="I23" s="34">
        <f>SUMIFS(Master_Orders!E2:E174, Master_Orders!D2:D174, "2026-07-13", Master_Orders!J2:J174, "Prepaid")</f>
        <v/>
      </c>
      <c r="J23" s="33">
        <f>COUNTIFS(Master_Orders!D2:D174, "2026-07-13", Master_Orders!K2:K174, "Delivered")</f>
        <v/>
      </c>
      <c r="K23" s="33">
        <f>COUNTIFS(Master_Orders!D2:D174, "2026-07-13", Master_Orders!K2:K174, "RTO / Returned")</f>
        <v/>
      </c>
      <c r="L23" s="33">
        <f>COUNTIFS(Master_Orders!D2:D174, "2026-07-13", Master_Orders!K2:K174, "Canceled")</f>
        <v/>
      </c>
      <c r="M23" s="33">
        <f>COUNTIFS(Master_Orders!D2:D174, "2026-07-13", Master_Orders!K2:K174, "In Transit")</f>
        <v/>
      </c>
    </row>
    <row r="24">
      <c r="A24" s="35" t="inlineStr">
        <is>
          <t>2026-07-14</t>
        </is>
      </c>
      <c r="B24" s="36">
        <f>COUNTIF(Master_Orders!D2:D174, "2026-07-14")</f>
        <v/>
      </c>
      <c r="C24" s="36">
        <f>COUNTIFS(Master_Orders!D2:D174, "2026-07-14", Master_Orders!J2:J174, "COD")</f>
        <v/>
      </c>
      <c r="D24" s="36">
        <f>COUNTIFS(Master_Orders!D2:D174, "2026-07-14", Master_Orders!J2:J174, "Partial COD")</f>
        <v/>
      </c>
      <c r="E24" s="36">
        <f>COUNTIFS(Master_Orders!D2:D174, "2026-07-14", Master_Orders!J2:J174, "Prepaid")</f>
        <v/>
      </c>
      <c r="F24" s="37">
        <f>SUMIF(Master_Orders!D2:D174, "2026-07-14", Master_Orders!E2:E174)</f>
        <v/>
      </c>
      <c r="G24" s="37">
        <f>SUMIFS(Master_Orders!E2:E174, Master_Orders!D2:D174, "2026-07-14", Master_Orders!J2:J174, "COD")</f>
        <v/>
      </c>
      <c r="H24" s="37">
        <f>SUMIFS(Master_Orders!E2:E174, Master_Orders!D2:D174, "2026-07-14", Master_Orders!J2:J174, "Partial COD")</f>
        <v/>
      </c>
      <c r="I24" s="37">
        <f>SUMIFS(Master_Orders!E2:E174, Master_Orders!D2:D174, "2026-07-14", Master_Orders!J2:J174, "Prepaid")</f>
        <v/>
      </c>
      <c r="J24" s="36">
        <f>COUNTIFS(Master_Orders!D2:D174, "2026-07-14", Master_Orders!K2:K174, "Delivered")</f>
        <v/>
      </c>
      <c r="K24" s="36">
        <f>COUNTIFS(Master_Orders!D2:D174, "2026-07-14", Master_Orders!K2:K174, "RTO / Returned")</f>
        <v/>
      </c>
      <c r="L24" s="36">
        <f>COUNTIFS(Master_Orders!D2:D174, "2026-07-14", Master_Orders!K2:K174, "Canceled")</f>
        <v/>
      </c>
      <c r="M24" s="36">
        <f>COUNTIFS(Master_Orders!D2:D174, "2026-07-14", Master_Orders!K2:K174, "In Transit")</f>
        <v/>
      </c>
    </row>
    <row r="25">
      <c r="A25" s="32" t="inlineStr">
        <is>
          <t>2026-07-15</t>
        </is>
      </c>
      <c r="B25" s="33">
        <f>COUNTIF(Master_Orders!D2:D174, "2026-07-15")</f>
        <v/>
      </c>
      <c r="C25" s="33">
        <f>COUNTIFS(Master_Orders!D2:D174, "2026-07-15", Master_Orders!J2:J174, "COD")</f>
        <v/>
      </c>
      <c r="D25" s="33">
        <f>COUNTIFS(Master_Orders!D2:D174, "2026-07-15", Master_Orders!J2:J174, "Partial COD")</f>
        <v/>
      </c>
      <c r="E25" s="33">
        <f>COUNTIFS(Master_Orders!D2:D174, "2026-07-15", Master_Orders!J2:J174, "Prepaid")</f>
        <v/>
      </c>
      <c r="F25" s="34">
        <f>SUMIF(Master_Orders!D2:D174, "2026-07-15", Master_Orders!E2:E174)</f>
        <v/>
      </c>
      <c r="G25" s="34">
        <f>SUMIFS(Master_Orders!E2:E174, Master_Orders!D2:D174, "2026-07-15", Master_Orders!J2:J174, "COD")</f>
        <v/>
      </c>
      <c r="H25" s="34">
        <f>SUMIFS(Master_Orders!E2:E174, Master_Orders!D2:D174, "2026-07-15", Master_Orders!J2:J174, "Partial COD")</f>
        <v/>
      </c>
      <c r="I25" s="34">
        <f>SUMIFS(Master_Orders!E2:E174, Master_Orders!D2:D174, "2026-07-15", Master_Orders!J2:J174, "Prepaid")</f>
        <v/>
      </c>
      <c r="J25" s="33">
        <f>COUNTIFS(Master_Orders!D2:D174, "2026-07-15", Master_Orders!K2:K174, "Delivered")</f>
        <v/>
      </c>
      <c r="K25" s="33">
        <f>COUNTIFS(Master_Orders!D2:D174, "2026-07-15", Master_Orders!K2:K174, "RTO / Returned")</f>
        <v/>
      </c>
      <c r="L25" s="33">
        <f>COUNTIFS(Master_Orders!D2:D174, "2026-07-15", Master_Orders!K2:K174, "Canceled")</f>
        <v/>
      </c>
      <c r="M25" s="33">
        <f>COUNTIFS(Master_Orders!D2:D174, "2026-07-15", Master_Orders!K2:K174, "In Transit")</f>
        <v/>
      </c>
    </row>
    <row r="26">
      <c r="A26" s="35" t="inlineStr">
        <is>
          <t>2026-07-16</t>
        </is>
      </c>
      <c r="B26" s="36">
        <f>COUNTIF(Master_Orders!D2:D174, "2026-07-16")</f>
        <v/>
      </c>
      <c r="C26" s="36">
        <f>COUNTIFS(Master_Orders!D2:D174, "2026-07-16", Master_Orders!J2:J174, "COD")</f>
        <v/>
      </c>
      <c r="D26" s="36">
        <f>COUNTIFS(Master_Orders!D2:D174, "2026-07-16", Master_Orders!J2:J174, "Partial COD")</f>
        <v/>
      </c>
      <c r="E26" s="36">
        <f>COUNTIFS(Master_Orders!D2:D174, "2026-07-16", Master_Orders!J2:J174, "Prepaid")</f>
        <v/>
      </c>
      <c r="F26" s="37">
        <f>SUMIF(Master_Orders!D2:D174, "2026-07-16", Master_Orders!E2:E174)</f>
        <v/>
      </c>
      <c r="G26" s="37">
        <f>SUMIFS(Master_Orders!E2:E174, Master_Orders!D2:D174, "2026-07-16", Master_Orders!J2:J174, "COD")</f>
        <v/>
      </c>
      <c r="H26" s="37">
        <f>SUMIFS(Master_Orders!E2:E174, Master_Orders!D2:D174, "2026-07-16", Master_Orders!J2:J174, "Partial COD")</f>
        <v/>
      </c>
      <c r="I26" s="37">
        <f>SUMIFS(Master_Orders!E2:E174, Master_Orders!D2:D174, "2026-07-16", Master_Orders!J2:J174, "Prepaid")</f>
        <v/>
      </c>
      <c r="J26" s="36">
        <f>COUNTIFS(Master_Orders!D2:D174, "2026-07-16", Master_Orders!K2:K174, "Delivered")</f>
        <v/>
      </c>
      <c r="K26" s="36">
        <f>COUNTIFS(Master_Orders!D2:D174, "2026-07-16", Master_Orders!K2:K174, "RTO / Returned")</f>
        <v/>
      </c>
      <c r="L26" s="36">
        <f>COUNTIFS(Master_Orders!D2:D174, "2026-07-16", Master_Orders!K2:K174, "Canceled")</f>
        <v/>
      </c>
      <c r="M26" s="36">
        <f>COUNTIFS(Master_Orders!D2:D174, "2026-07-16", Master_Orders!K2:K174, "In Transit")</f>
        <v/>
      </c>
    </row>
    <row r="27">
      <c r="A27" s="32" t="inlineStr">
        <is>
          <t>2026-07-17</t>
        </is>
      </c>
      <c r="B27" s="33">
        <f>COUNTIF(Master_Orders!D2:D174, "2026-07-17")</f>
        <v/>
      </c>
      <c r="C27" s="33">
        <f>COUNTIFS(Master_Orders!D2:D174, "2026-07-17", Master_Orders!J2:J174, "COD")</f>
        <v/>
      </c>
      <c r="D27" s="33">
        <f>COUNTIFS(Master_Orders!D2:D174, "2026-07-17", Master_Orders!J2:J174, "Partial COD")</f>
        <v/>
      </c>
      <c r="E27" s="33">
        <f>COUNTIFS(Master_Orders!D2:D174, "2026-07-17", Master_Orders!J2:J174, "Prepaid")</f>
        <v/>
      </c>
      <c r="F27" s="34">
        <f>SUMIF(Master_Orders!D2:D174, "2026-07-17", Master_Orders!E2:E174)</f>
        <v/>
      </c>
      <c r="G27" s="34">
        <f>SUMIFS(Master_Orders!E2:E174, Master_Orders!D2:D174, "2026-07-17", Master_Orders!J2:J174, "COD")</f>
        <v/>
      </c>
      <c r="H27" s="34">
        <f>SUMIFS(Master_Orders!E2:E174, Master_Orders!D2:D174, "2026-07-17", Master_Orders!J2:J174, "Partial COD")</f>
        <v/>
      </c>
      <c r="I27" s="34">
        <f>SUMIFS(Master_Orders!E2:E174, Master_Orders!D2:D174, "2026-07-17", Master_Orders!J2:J174, "Prepaid")</f>
        <v/>
      </c>
      <c r="J27" s="33">
        <f>COUNTIFS(Master_Orders!D2:D174, "2026-07-17", Master_Orders!K2:K174, "Delivered")</f>
        <v/>
      </c>
      <c r="K27" s="33">
        <f>COUNTIFS(Master_Orders!D2:D174, "2026-07-17", Master_Orders!K2:K174, "RTO / Returned")</f>
        <v/>
      </c>
      <c r="L27" s="33">
        <f>COUNTIFS(Master_Orders!D2:D174, "2026-07-17", Master_Orders!K2:K174, "Canceled")</f>
        <v/>
      </c>
      <c r="M27" s="33">
        <f>COUNTIFS(Master_Orders!D2:D174, "2026-07-17", Master_Orders!K2:K174, "In Transit")</f>
        <v/>
      </c>
    </row>
    <row r="28">
      <c r="A28" s="35" t="inlineStr">
        <is>
          <t>2026-07-18</t>
        </is>
      </c>
      <c r="B28" s="36">
        <f>COUNTIF(Master_Orders!D2:D174, "2026-07-18")</f>
        <v/>
      </c>
      <c r="C28" s="36">
        <f>COUNTIFS(Master_Orders!D2:D174, "2026-07-18", Master_Orders!J2:J174, "COD")</f>
        <v/>
      </c>
      <c r="D28" s="36">
        <f>COUNTIFS(Master_Orders!D2:D174, "2026-07-18", Master_Orders!J2:J174, "Partial COD")</f>
        <v/>
      </c>
      <c r="E28" s="36">
        <f>COUNTIFS(Master_Orders!D2:D174, "2026-07-18", Master_Orders!J2:J174, "Prepaid")</f>
        <v/>
      </c>
      <c r="F28" s="37">
        <f>SUMIF(Master_Orders!D2:D174, "2026-07-18", Master_Orders!E2:E174)</f>
        <v/>
      </c>
      <c r="G28" s="37">
        <f>SUMIFS(Master_Orders!E2:E174, Master_Orders!D2:D174, "2026-07-18", Master_Orders!J2:J174, "COD")</f>
        <v/>
      </c>
      <c r="H28" s="37">
        <f>SUMIFS(Master_Orders!E2:E174, Master_Orders!D2:D174, "2026-07-18", Master_Orders!J2:J174, "Partial COD")</f>
        <v/>
      </c>
      <c r="I28" s="37">
        <f>SUMIFS(Master_Orders!E2:E174, Master_Orders!D2:D174, "2026-07-18", Master_Orders!J2:J174, "Prepaid")</f>
        <v/>
      </c>
      <c r="J28" s="36">
        <f>COUNTIFS(Master_Orders!D2:D174, "2026-07-18", Master_Orders!K2:K174, "Delivered")</f>
        <v/>
      </c>
      <c r="K28" s="36">
        <f>COUNTIFS(Master_Orders!D2:D174, "2026-07-18", Master_Orders!K2:K174, "RTO / Returned")</f>
        <v/>
      </c>
      <c r="L28" s="36">
        <f>COUNTIFS(Master_Orders!D2:D174, "2026-07-18", Master_Orders!K2:K174, "Canceled")</f>
        <v/>
      </c>
      <c r="M28" s="36">
        <f>COUNTIFS(Master_Orders!D2:D174, "2026-07-18", Master_Orders!K2:K174, "In Transit")</f>
        <v/>
      </c>
    </row>
    <row r="29">
      <c r="A29" s="32" t="inlineStr">
        <is>
          <t>2026-07-19</t>
        </is>
      </c>
      <c r="B29" s="33">
        <f>COUNTIF(Master_Orders!D2:D174, "2026-07-19")</f>
        <v/>
      </c>
      <c r="C29" s="33">
        <f>COUNTIFS(Master_Orders!D2:D174, "2026-07-19", Master_Orders!J2:J174, "COD")</f>
        <v/>
      </c>
      <c r="D29" s="33">
        <f>COUNTIFS(Master_Orders!D2:D174, "2026-07-19", Master_Orders!J2:J174, "Partial COD")</f>
        <v/>
      </c>
      <c r="E29" s="33">
        <f>COUNTIFS(Master_Orders!D2:D174, "2026-07-19", Master_Orders!J2:J174, "Prepaid")</f>
        <v/>
      </c>
      <c r="F29" s="34">
        <f>SUMIF(Master_Orders!D2:D174, "2026-07-19", Master_Orders!E2:E174)</f>
        <v/>
      </c>
      <c r="G29" s="34">
        <f>SUMIFS(Master_Orders!E2:E174, Master_Orders!D2:D174, "2026-07-19", Master_Orders!J2:J174, "COD")</f>
        <v/>
      </c>
      <c r="H29" s="34">
        <f>SUMIFS(Master_Orders!E2:E174, Master_Orders!D2:D174, "2026-07-19", Master_Orders!J2:J174, "Partial COD")</f>
        <v/>
      </c>
      <c r="I29" s="34">
        <f>SUMIFS(Master_Orders!E2:E174, Master_Orders!D2:D174, "2026-07-19", Master_Orders!J2:J174, "Prepaid")</f>
        <v/>
      </c>
      <c r="J29" s="33">
        <f>COUNTIFS(Master_Orders!D2:D174, "2026-07-19", Master_Orders!K2:K174, "Delivered")</f>
        <v/>
      </c>
      <c r="K29" s="33">
        <f>COUNTIFS(Master_Orders!D2:D174, "2026-07-19", Master_Orders!K2:K174, "RTO / Returned")</f>
        <v/>
      </c>
      <c r="L29" s="33">
        <f>COUNTIFS(Master_Orders!D2:D174, "2026-07-19", Master_Orders!K2:K174, "Canceled")</f>
        <v/>
      </c>
      <c r="M29" s="33">
        <f>COUNTIFS(Master_Orders!D2:D174, "2026-07-19", Master_Orders!K2:K174, "In Transit")</f>
        <v/>
      </c>
    </row>
    <row r="30">
      <c r="A30" s="35" t="inlineStr">
        <is>
          <t>2026-07-20</t>
        </is>
      </c>
      <c r="B30" s="36">
        <f>COUNTIF(Master_Orders!D2:D174, "2026-07-20")</f>
        <v/>
      </c>
      <c r="C30" s="36">
        <f>COUNTIFS(Master_Orders!D2:D174, "2026-07-20", Master_Orders!J2:J174, "COD")</f>
        <v/>
      </c>
      <c r="D30" s="36">
        <f>COUNTIFS(Master_Orders!D2:D174, "2026-07-20", Master_Orders!J2:J174, "Partial COD")</f>
        <v/>
      </c>
      <c r="E30" s="36">
        <f>COUNTIFS(Master_Orders!D2:D174, "2026-07-20", Master_Orders!J2:J174, "Prepaid")</f>
        <v/>
      </c>
      <c r="F30" s="37">
        <f>SUMIF(Master_Orders!D2:D174, "2026-07-20", Master_Orders!E2:E174)</f>
        <v/>
      </c>
      <c r="G30" s="37">
        <f>SUMIFS(Master_Orders!E2:E174, Master_Orders!D2:D174, "2026-07-20", Master_Orders!J2:J174, "COD")</f>
        <v/>
      </c>
      <c r="H30" s="37">
        <f>SUMIFS(Master_Orders!E2:E174, Master_Orders!D2:D174, "2026-07-20", Master_Orders!J2:J174, "Partial COD")</f>
        <v/>
      </c>
      <c r="I30" s="37">
        <f>SUMIFS(Master_Orders!E2:E174, Master_Orders!D2:D174, "2026-07-20", Master_Orders!J2:J174, "Prepaid")</f>
        <v/>
      </c>
      <c r="J30" s="36">
        <f>COUNTIFS(Master_Orders!D2:D174, "2026-07-20", Master_Orders!K2:K174, "Delivered")</f>
        <v/>
      </c>
      <c r="K30" s="36">
        <f>COUNTIFS(Master_Orders!D2:D174, "2026-07-20", Master_Orders!K2:K174, "RTO / Returned")</f>
        <v/>
      </c>
      <c r="L30" s="36">
        <f>COUNTIFS(Master_Orders!D2:D174, "2026-07-20", Master_Orders!K2:K174, "Canceled")</f>
        <v/>
      </c>
      <c r="M30" s="36">
        <f>COUNTIFS(Master_Orders!D2:D174, "2026-07-20", Master_Orders!K2:K174, "In Transit")</f>
        <v/>
      </c>
    </row>
    <row r="31">
      <c r="A31" s="32" t="inlineStr">
        <is>
          <t>2026-07-21</t>
        </is>
      </c>
      <c r="B31" s="33">
        <f>COUNTIF(Master_Orders!D2:D174, "2026-07-21")</f>
        <v/>
      </c>
      <c r="C31" s="33">
        <f>COUNTIFS(Master_Orders!D2:D174, "2026-07-21", Master_Orders!J2:J174, "COD")</f>
        <v/>
      </c>
      <c r="D31" s="33">
        <f>COUNTIFS(Master_Orders!D2:D174, "2026-07-21", Master_Orders!J2:J174, "Partial COD")</f>
        <v/>
      </c>
      <c r="E31" s="33">
        <f>COUNTIFS(Master_Orders!D2:D174, "2026-07-21", Master_Orders!J2:J174, "Prepaid")</f>
        <v/>
      </c>
      <c r="F31" s="34">
        <f>SUMIF(Master_Orders!D2:D174, "2026-07-21", Master_Orders!E2:E174)</f>
        <v/>
      </c>
      <c r="G31" s="34">
        <f>SUMIFS(Master_Orders!E2:E174, Master_Orders!D2:D174, "2026-07-21", Master_Orders!J2:J174, "COD")</f>
        <v/>
      </c>
      <c r="H31" s="34">
        <f>SUMIFS(Master_Orders!E2:E174, Master_Orders!D2:D174, "2026-07-21", Master_Orders!J2:J174, "Partial COD")</f>
        <v/>
      </c>
      <c r="I31" s="34">
        <f>SUMIFS(Master_Orders!E2:E174, Master_Orders!D2:D174, "2026-07-21", Master_Orders!J2:J174, "Prepaid")</f>
        <v/>
      </c>
      <c r="J31" s="33">
        <f>COUNTIFS(Master_Orders!D2:D174, "2026-07-21", Master_Orders!K2:K174, "Delivered")</f>
        <v/>
      </c>
      <c r="K31" s="33">
        <f>COUNTIFS(Master_Orders!D2:D174, "2026-07-21", Master_Orders!K2:K174, "RTO / Returned")</f>
        <v/>
      </c>
      <c r="L31" s="33">
        <f>COUNTIFS(Master_Orders!D2:D174, "2026-07-21", Master_Orders!K2:K174, "Canceled")</f>
        <v/>
      </c>
      <c r="M31" s="33">
        <f>COUNTIFS(Master_Orders!D2:D174, "2026-07-21", Master_Orders!K2:K174, "In Transit")</f>
        <v/>
      </c>
    </row>
    <row r="32">
      <c r="A32" s="35" t="inlineStr">
        <is>
          <t>2026-07-22</t>
        </is>
      </c>
      <c r="B32" s="36">
        <f>COUNTIF(Master_Orders!D2:D174, "2026-07-22")</f>
        <v/>
      </c>
      <c r="C32" s="36">
        <f>COUNTIFS(Master_Orders!D2:D174, "2026-07-22", Master_Orders!J2:J174, "COD")</f>
        <v/>
      </c>
      <c r="D32" s="36">
        <f>COUNTIFS(Master_Orders!D2:D174, "2026-07-22", Master_Orders!J2:J174, "Partial COD")</f>
        <v/>
      </c>
      <c r="E32" s="36">
        <f>COUNTIFS(Master_Orders!D2:D174, "2026-07-22", Master_Orders!J2:J174, "Prepaid")</f>
        <v/>
      </c>
      <c r="F32" s="37">
        <f>SUMIF(Master_Orders!D2:D174, "2026-07-22", Master_Orders!E2:E174)</f>
        <v/>
      </c>
      <c r="G32" s="37">
        <f>SUMIFS(Master_Orders!E2:E174, Master_Orders!D2:D174, "2026-07-22", Master_Orders!J2:J174, "COD")</f>
        <v/>
      </c>
      <c r="H32" s="37">
        <f>SUMIFS(Master_Orders!E2:E174, Master_Orders!D2:D174, "2026-07-22", Master_Orders!J2:J174, "Partial COD")</f>
        <v/>
      </c>
      <c r="I32" s="37">
        <f>SUMIFS(Master_Orders!E2:E174, Master_Orders!D2:D174, "2026-07-22", Master_Orders!J2:J174, "Prepaid")</f>
        <v/>
      </c>
      <c r="J32" s="36">
        <f>COUNTIFS(Master_Orders!D2:D174, "2026-07-22", Master_Orders!K2:K174, "Delivered")</f>
        <v/>
      </c>
      <c r="K32" s="36">
        <f>COUNTIFS(Master_Orders!D2:D174, "2026-07-22", Master_Orders!K2:K174, "RTO / Returned")</f>
        <v/>
      </c>
      <c r="L32" s="36">
        <f>COUNTIFS(Master_Orders!D2:D174, "2026-07-22", Master_Orders!K2:K174, "Canceled")</f>
        <v/>
      </c>
      <c r="M32" s="36">
        <f>COUNTIFS(Master_Orders!D2:D174, "2026-07-22", Master_Orders!K2:K174, "In Transit")</f>
        <v/>
      </c>
    </row>
    <row r="33">
      <c r="A33" s="32" t="inlineStr">
        <is>
          <t>2026-07-23</t>
        </is>
      </c>
      <c r="B33" s="33">
        <f>COUNTIF(Master_Orders!D2:D174, "2026-07-23")</f>
        <v/>
      </c>
      <c r="C33" s="33">
        <f>COUNTIFS(Master_Orders!D2:D174, "2026-07-23", Master_Orders!J2:J174, "COD")</f>
        <v/>
      </c>
      <c r="D33" s="33">
        <f>COUNTIFS(Master_Orders!D2:D174, "2026-07-23", Master_Orders!J2:J174, "Partial COD")</f>
        <v/>
      </c>
      <c r="E33" s="33">
        <f>COUNTIFS(Master_Orders!D2:D174, "2026-07-23", Master_Orders!J2:J174, "Prepaid")</f>
        <v/>
      </c>
      <c r="F33" s="34">
        <f>SUMIF(Master_Orders!D2:D174, "2026-07-23", Master_Orders!E2:E174)</f>
        <v/>
      </c>
      <c r="G33" s="34">
        <f>SUMIFS(Master_Orders!E2:E174, Master_Orders!D2:D174, "2026-07-23", Master_Orders!J2:J174, "COD")</f>
        <v/>
      </c>
      <c r="H33" s="34">
        <f>SUMIFS(Master_Orders!E2:E174, Master_Orders!D2:D174, "2026-07-23", Master_Orders!J2:J174, "Partial COD")</f>
        <v/>
      </c>
      <c r="I33" s="34">
        <f>SUMIFS(Master_Orders!E2:E174, Master_Orders!D2:D174, "2026-07-23", Master_Orders!J2:J174, "Prepaid")</f>
        <v/>
      </c>
      <c r="J33" s="33">
        <f>COUNTIFS(Master_Orders!D2:D174, "2026-07-23", Master_Orders!K2:K174, "Delivered")</f>
        <v/>
      </c>
      <c r="K33" s="33">
        <f>COUNTIFS(Master_Orders!D2:D174, "2026-07-23", Master_Orders!K2:K174, "RTO / Returned")</f>
        <v/>
      </c>
      <c r="L33" s="33">
        <f>COUNTIFS(Master_Orders!D2:D174, "2026-07-23", Master_Orders!K2:K174, "Canceled")</f>
        <v/>
      </c>
      <c r="M33" s="33">
        <f>COUNTIFS(Master_Orders!D2:D174, "2026-07-23", Master_Orders!K2:K174, "In Transit")</f>
        <v/>
      </c>
    </row>
    <row r="34">
      <c r="A34" s="35" t="inlineStr">
        <is>
          <t>2026-07-24</t>
        </is>
      </c>
      <c r="B34" s="36">
        <f>COUNTIF(Master_Orders!D2:D174, "2026-07-24")</f>
        <v/>
      </c>
      <c r="C34" s="36">
        <f>COUNTIFS(Master_Orders!D2:D174, "2026-07-24", Master_Orders!J2:J174, "COD")</f>
        <v/>
      </c>
      <c r="D34" s="36">
        <f>COUNTIFS(Master_Orders!D2:D174, "2026-07-24", Master_Orders!J2:J174, "Partial COD")</f>
        <v/>
      </c>
      <c r="E34" s="36">
        <f>COUNTIFS(Master_Orders!D2:D174, "2026-07-24", Master_Orders!J2:J174, "Prepaid")</f>
        <v/>
      </c>
      <c r="F34" s="37">
        <f>SUMIF(Master_Orders!D2:D174, "2026-07-24", Master_Orders!E2:E174)</f>
        <v/>
      </c>
      <c r="G34" s="37">
        <f>SUMIFS(Master_Orders!E2:E174, Master_Orders!D2:D174, "2026-07-24", Master_Orders!J2:J174, "COD")</f>
        <v/>
      </c>
      <c r="H34" s="37">
        <f>SUMIFS(Master_Orders!E2:E174, Master_Orders!D2:D174, "2026-07-24", Master_Orders!J2:J174, "Partial COD")</f>
        <v/>
      </c>
      <c r="I34" s="37">
        <f>SUMIFS(Master_Orders!E2:E174, Master_Orders!D2:D174, "2026-07-24", Master_Orders!J2:J174, "Prepaid")</f>
        <v/>
      </c>
      <c r="J34" s="36">
        <f>COUNTIFS(Master_Orders!D2:D174, "2026-07-24", Master_Orders!K2:K174, "Delivered")</f>
        <v/>
      </c>
      <c r="K34" s="36">
        <f>COUNTIFS(Master_Orders!D2:D174, "2026-07-24", Master_Orders!K2:K174, "RTO / Returned")</f>
        <v/>
      </c>
      <c r="L34" s="36">
        <f>COUNTIFS(Master_Orders!D2:D174, "2026-07-24", Master_Orders!K2:K174, "Canceled")</f>
        <v/>
      </c>
      <c r="M34" s="36">
        <f>COUNTIFS(Master_Orders!D2:D174, "2026-07-24", Master_Orders!K2:K174, "In Transit")</f>
        <v/>
      </c>
    </row>
    <row r="35">
      <c r="A35" s="32" t="inlineStr">
        <is>
          <t>2026-07-25</t>
        </is>
      </c>
      <c r="B35" s="33">
        <f>COUNTIF(Master_Orders!D2:D174, "2026-07-25")</f>
        <v/>
      </c>
      <c r="C35" s="33">
        <f>COUNTIFS(Master_Orders!D2:D174, "2026-07-25", Master_Orders!J2:J174, "COD")</f>
        <v/>
      </c>
      <c r="D35" s="33">
        <f>COUNTIFS(Master_Orders!D2:D174, "2026-07-25", Master_Orders!J2:J174, "Partial COD")</f>
        <v/>
      </c>
      <c r="E35" s="33">
        <f>COUNTIFS(Master_Orders!D2:D174, "2026-07-25", Master_Orders!J2:J174, "Prepaid")</f>
        <v/>
      </c>
      <c r="F35" s="34">
        <f>SUMIF(Master_Orders!D2:D174, "2026-07-25", Master_Orders!E2:E174)</f>
        <v/>
      </c>
      <c r="G35" s="34">
        <f>SUMIFS(Master_Orders!E2:E174, Master_Orders!D2:D174, "2026-07-25", Master_Orders!J2:J174, "COD")</f>
        <v/>
      </c>
      <c r="H35" s="34">
        <f>SUMIFS(Master_Orders!E2:E174, Master_Orders!D2:D174, "2026-07-25", Master_Orders!J2:J174, "Partial COD")</f>
        <v/>
      </c>
      <c r="I35" s="34">
        <f>SUMIFS(Master_Orders!E2:E174, Master_Orders!D2:D174, "2026-07-25", Master_Orders!J2:J174, "Prepaid")</f>
        <v/>
      </c>
      <c r="J35" s="33">
        <f>COUNTIFS(Master_Orders!D2:D174, "2026-07-25", Master_Orders!K2:K174, "Delivered")</f>
        <v/>
      </c>
      <c r="K35" s="33">
        <f>COUNTIFS(Master_Orders!D2:D174, "2026-07-25", Master_Orders!K2:K174, "RTO / Returned")</f>
        <v/>
      </c>
      <c r="L35" s="33">
        <f>COUNTIFS(Master_Orders!D2:D174, "2026-07-25", Master_Orders!K2:K174, "Canceled")</f>
        <v/>
      </c>
      <c r="M35" s="33">
        <f>COUNTIFS(Master_Orders!D2:D174, "2026-07-25", Master_Orders!K2:K174, "In Transit")</f>
        <v/>
      </c>
    </row>
    <row r="36">
      <c r="A36" s="35" t="inlineStr">
        <is>
          <t>2026-07-26</t>
        </is>
      </c>
      <c r="B36" s="36">
        <f>COUNTIF(Master_Orders!D2:D174, "2026-07-26")</f>
        <v/>
      </c>
      <c r="C36" s="36">
        <f>COUNTIFS(Master_Orders!D2:D174, "2026-07-26", Master_Orders!J2:J174, "COD")</f>
        <v/>
      </c>
      <c r="D36" s="36">
        <f>COUNTIFS(Master_Orders!D2:D174, "2026-07-26", Master_Orders!J2:J174, "Partial COD")</f>
        <v/>
      </c>
      <c r="E36" s="36">
        <f>COUNTIFS(Master_Orders!D2:D174, "2026-07-26", Master_Orders!J2:J174, "Prepaid")</f>
        <v/>
      </c>
      <c r="F36" s="37">
        <f>SUMIF(Master_Orders!D2:D174, "2026-07-26", Master_Orders!E2:E174)</f>
        <v/>
      </c>
      <c r="G36" s="37">
        <f>SUMIFS(Master_Orders!E2:E174, Master_Orders!D2:D174, "2026-07-26", Master_Orders!J2:J174, "COD")</f>
        <v/>
      </c>
      <c r="H36" s="37">
        <f>SUMIFS(Master_Orders!E2:E174, Master_Orders!D2:D174, "2026-07-26", Master_Orders!J2:J174, "Partial COD")</f>
        <v/>
      </c>
      <c r="I36" s="37">
        <f>SUMIFS(Master_Orders!E2:E174, Master_Orders!D2:D174, "2026-07-26", Master_Orders!J2:J174, "Prepaid")</f>
        <v/>
      </c>
      <c r="J36" s="36">
        <f>COUNTIFS(Master_Orders!D2:D174, "2026-07-26", Master_Orders!K2:K174, "Delivered")</f>
        <v/>
      </c>
      <c r="K36" s="36">
        <f>COUNTIFS(Master_Orders!D2:D174, "2026-07-26", Master_Orders!K2:K174, "RTO / Returned")</f>
        <v/>
      </c>
      <c r="L36" s="36">
        <f>COUNTIFS(Master_Orders!D2:D174, "2026-07-26", Master_Orders!K2:K174, "Canceled")</f>
        <v/>
      </c>
      <c r="M36" s="36">
        <f>COUNTIFS(Master_Orders!D2:D174, "2026-07-26", Master_Orders!K2:K174, "In Transit")</f>
        <v/>
      </c>
    </row>
    <row r="37">
      <c r="A37" s="32" t="inlineStr">
        <is>
          <t>2026-07-27</t>
        </is>
      </c>
      <c r="B37" s="33">
        <f>COUNTIF(Master_Orders!D2:D174, "2026-07-27")</f>
        <v/>
      </c>
      <c r="C37" s="33">
        <f>COUNTIFS(Master_Orders!D2:D174, "2026-07-27", Master_Orders!J2:J174, "COD")</f>
        <v/>
      </c>
      <c r="D37" s="33">
        <f>COUNTIFS(Master_Orders!D2:D174, "2026-07-27", Master_Orders!J2:J174, "Partial COD")</f>
        <v/>
      </c>
      <c r="E37" s="33">
        <f>COUNTIFS(Master_Orders!D2:D174, "2026-07-27", Master_Orders!J2:J174, "Prepaid")</f>
        <v/>
      </c>
      <c r="F37" s="34">
        <f>SUMIF(Master_Orders!D2:D174, "2026-07-27", Master_Orders!E2:E174)</f>
        <v/>
      </c>
      <c r="G37" s="34">
        <f>SUMIFS(Master_Orders!E2:E174, Master_Orders!D2:D174, "2026-07-27", Master_Orders!J2:J174, "COD")</f>
        <v/>
      </c>
      <c r="H37" s="34">
        <f>SUMIFS(Master_Orders!E2:E174, Master_Orders!D2:D174, "2026-07-27", Master_Orders!J2:J174, "Partial COD")</f>
        <v/>
      </c>
      <c r="I37" s="34">
        <f>SUMIFS(Master_Orders!E2:E174, Master_Orders!D2:D174, "2026-07-27", Master_Orders!J2:J174, "Prepaid")</f>
        <v/>
      </c>
      <c r="J37" s="33">
        <f>COUNTIFS(Master_Orders!D2:D174, "2026-07-27", Master_Orders!K2:K174, "Delivered")</f>
        <v/>
      </c>
      <c r="K37" s="33">
        <f>COUNTIFS(Master_Orders!D2:D174, "2026-07-27", Master_Orders!K2:K174, "RTO / Returned")</f>
        <v/>
      </c>
      <c r="L37" s="33">
        <f>COUNTIFS(Master_Orders!D2:D174, "2026-07-27", Master_Orders!K2:K174, "Canceled")</f>
        <v/>
      </c>
      <c r="M37" s="33">
        <f>COUNTIFS(Master_Orders!D2:D174, "2026-07-27", Master_Orders!K2:K174, "In Transit")</f>
        <v/>
      </c>
    </row>
    <row r="38">
      <c r="A38" s="35" t="inlineStr">
        <is>
          <t>2026-07-28</t>
        </is>
      </c>
      <c r="B38" s="36">
        <f>COUNTIF(Master_Orders!D2:D174, "2026-07-28")</f>
        <v/>
      </c>
      <c r="C38" s="36">
        <f>COUNTIFS(Master_Orders!D2:D174, "2026-07-28", Master_Orders!J2:J174, "COD")</f>
        <v/>
      </c>
      <c r="D38" s="36">
        <f>COUNTIFS(Master_Orders!D2:D174, "2026-07-28", Master_Orders!J2:J174, "Partial COD")</f>
        <v/>
      </c>
      <c r="E38" s="36">
        <f>COUNTIFS(Master_Orders!D2:D174, "2026-07-28", Master_Orders!J2:J174, "Prepaid")</f>
        <v/>
      </c>
      <c r="F38" s="37">
        <f>SUMIF(Master_Orders!D2:D174, "2026-07-28", Master_Orders!E2:E174)</f>
        <v/>
      </c>
      <c r="G38" s="37">
        <f>SUMIFS(Master_Orders!E2:E174, Master_Orders!D2:D174, "2026-07-28", Master_Orders!J2:J174, "COD")</f>
        <v/>
      </c>
      <c r="H38" s="37">
        <f>SUMIFS(Master_Orders!E2:E174, Master_Orders!D2:D174, "2026-07-28", Master_Orders!J2:J174, "Partial COD")</f>
        <v/>
      </c>
      <c r="I38" s="37">
        <f>SUMIFS(Master_Orders!E2:E174, Master_Orders!D2:D174, "2026-07-28", Master_Orders!J2:J174, "Prepaid")</f>
        <v/>
      </c>
      <c r="J38" s="36">
        <f>COUNTIFS(Master_Orders!D2:D174, "2026-07-28", Master_Orders!K2:K174, "Delivered")</f>
        <v/>
      </c>
      <c r="K38" s="36">
        <f>COUNTIFS(Master_Orders!D2:D174, "2026-07-28", Master_Orders!K2:K174, "RTO / Returned")</f>
        <v/>
      </c>
      <c r="L38" s="36">
        <f>COUNTIFS(Master_Orders!D2:D174, "2026-07-28", Master_Orders!K2:K174, "Canceled")</f>
        <v/>
      </c>
      <c r="M38" s="36">
        <f>COUNTIFS(Master_Orders!D2:D174, "2026-07-28", Master_Orders!K2:K174, "In Transit")</f>
        <v/>
      </c>
    </row>
    <row r="39">
      <c r="A39" s="32" t="inlineStr">
        <is>
          <t>2026-07-29</t>
        </is>
      </c>
      <c r="B39" s="33">
        <f>COUNTIF(Master_Orders!D2:D174, "2026-07-29")</f>
        <v/>
      </c>
      <c r="C39" s="33">
        <f>COUNTIFS(Master_Orders!D2:D174, "2026-07-29", Master_Orders!J2:J174, "COD")</f>
        <v/>
      </c>
      <c r="D39" s="33">
        <f>COUNTIFS(Master_Orders!D2:D174, "2026-07-29", Master_Orders!J2:J174, "Partial COD")</f>
        <v/>
      </c>
      <c r="E39" s="33">
        <f>COUNTIFS(Master_Orders!D2:D174, "2026-07-29", Master_Orders!J2:J174, "Prepaid")</f>
        <v/>
      </c>
      <c r="F39" s="34">
        <f>SUMIF(Master_Orders!D2:D174, "2026-07-29", Master_Orders!E2:E174)</f>
        <v/>
      </c>
      <c r="G39" s="34">
        <f>SUMIFS(Master_Orders!E2:E174, Master_Orders!D2:D174, "2026-07-29", Master_Orders!J2:J174, "COD")</f>
        <v/>
      </c>
      <c r="H39" s="34">
        <f>SUMIFS(Master_Orders!E2:E174, Master_Orders!D2:D174, "2026-07-29", Master_Orders!J2:J174, "Partial COD")</f>
        <v/>
      </c>
      <c r="I39" s="34">
        <f>SUMIFS(Master_Orders!E2:E174, Master_Orders!D2:D174, "2026-07-29", Master_Orders!J2:J174, "Prepaid")</f>
        <v/>
      </c>
      <c r="J39" s="33">
        <f>COUNTIFS(Master_Orders!D2:D174, "2026-07-29", Master_Orders!K2:K174, "Delivered")</f>
        <v/>
      </c>
      <c r="K39" s="33">
        <f>COUNTIFS(Master_Orders!D2:D174, "2026-07-29", Master_Orders!K2:K174, "RTO / Returned")</f>
        <v/>
      </c>
      <c r="L39" s="33">
        <f>COUNTIFS(Master_Orders!D2:D174, "2026-07-29", Master_Orders!K2:K174, "Canceled")</f>
        <v/>
      </c>
      <c r="M39" s="33">
        <f>COUNTIFS(Master_Orders!D2:D174, "2026-07-29", Master_Orders!K2:K174, "In Transit")</f>
        <v/>
      </c>
    </row>
    <row r="40">
      <c r="A40" s="35" t="inlineStr">
        <is>
          <t>2026-07-30</t>
        </is>
      </c>
      <c r="B40" s="36">
        <f>COUNTIF(Master_Orders!D2:D174, "2026-07-30")</f>
        <v/>
      </c>
      <c r="C40" s="36">
        <f>COUNTIFS(Master_Orders!D2:D174, "2026-07-30", Master_Orders!J2:J174, "COD")</f>
        <v/>
      </c>
      <c r="D40" s="36">
        <f>COUNTIFS(Master_Orders!D2:D174, "2026-07-30", Master_Orders!J2:J174, "Partial COD")</f>
        <v/>
      </c>
      <c r="E40" s="36">
        <f>COUNTIFS(Master_Orders!D2:D174, "2026-07-30", Master_Orders!J2:J174, "Prepaid")</f>
        <v/>
      </c>
      <c r="F40" s="37">
        <f>SUMIF(Master_Orders!D2:D174, "2026-07-30", Master_Orders!E2:E174)</f>
        <v/>
      </c>
      <c r="G40" s="37">
        <f>SUMIFS(Master_Orders!E2:E174, Master_Orders!D2:D174, "2026-07-30", Master_Orders!J2:J174, "COD")</f>
        <v/>
      </c>
      <c r="H40" s="37">
        <f>SUMIFS(Master_Orders!E2:E174, Master_Orders!D2:D174, "2026-07-30", Master_Orders!J2:J174, "Partial COD")</f>
        <v/>
      </c>
      <c r="I40" s="37">
        <f>SUMIFS(Master_Orders!E2:E174, Master_Orders!D2:D174, "2026-07-30", Master_Orders!J2:J174, "Prepaid")</f>
        <v/>
      </c>
      <c r="J40" s="36">
        <f>COUNTIFS(Master_Orders!D2:D174, "2026-07-30", Master_Orders!K2:K174, "Delivered")</f>
        <v/>
      </c>
      <c r="K40" s="36">
        <f>COUNTIFS(Master_Orders!D2:D174, "2026-07-30", Master_Orders!K2:K174, "RTO / Returned")</f>
        <v/>
      </c>
      <c r="L40" s="36">
        <f>COUNTIFS(Master_Orders!D2:D174, "2026-07-30", Master_Orders!K2:K174, "Canceled")</f>
        <v/>
      </c>
      <c r="M40" s="36">
        <f>COUNTIFS(Master_Orders!D2:D174, "2026-07-30", Master_Orders!K2:K174, "In Transit")</f>
        <v/>
      </c>
    </row>
    <row r="41">
      <c r="A41" s="22" t="inlineStr">
        <is>
          <t>Total Portfolio / All Days</t>
        </is>
      </c>
      <c r="B41" s="38">
        <f>SUM(B4:B40)</f>
        <v/>
      </c>
      <c r="C41" s="38">
        <f>SUM(C4:C40)</f>
        <v/>
      </c>
      <c r="D41" s="38">
        <f>SUM(D4:D40)</f>
        <v/>
      </c>
      <c r="E41" s="38">
        <f>SUM(E4:E40)</f>
        <v/>
      </c>
      <c r="F41" s="39">
        <f>SUM(F4:F40)</f>
        <v/>
      </c>
      <c r="G41" s="39">
        <f>SUM(G4:G40)</f>
        <v/>
      </c>
      <c r="H41" s="39">
        <f>SUM(H4:H40)</f>
        <v/>
      </c>
      <c r="I41" s="39">
        <f>SUM(I4:I40)</f>
        <v/>
      </c>
      <c r="J41" s="38">
        <f>SUM(J4:J40)</f>
        <v/>
      </c>
      <c r="K41" s="38">
        <f>SUM(K4:K40)</f>
        <v/>
      </c>
      <c r="L41" s="38">
        <f>SUM(L4:L40)</f>
        <v/>
      </c>
      <c r="M41" s="38">
        <f>SUM(M4:M40)</f>
        <v/>
      </c>
    </row>
  </sheetData>
  <mergeCells count="1">
    <mergeCell ref="A1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3" customWidth="1" min="4" max="4"/>
    <col width="20" customWidth="1" min="5" max="5"/>
    <col width="19" customWidth="1" min="6" max="6"/>
    <col width="21" customWidth="1" min="7" max="7"/>
    <col width="45" customWidth="1" min="8" max="8"/>
    <col width="28" customWidth="1" min="9" max="9"/>
    <col width="28" customWidth="1" min="10" max="10"/>
    <col width="27" customWidth="1" min="11" max="11"/>
    <col width="32" customWidth="1" min="12" max="12"/>
    <col width="39" customWidth="1" min="13" max="13"/>
    <col width="19" customWidth="1" min="14" max="14"/>
    <col width="19" customWidth="1" min="15" max="15"/>
    <col width="45" customWidth="1" min="16" max="16"/>
    <col width="24" customWidth="1" min="17" max="17"/>
    <col width="45" customWidth="1" min="18" max="18"/>
  </cols>
  <sheetData>
    <row r="1">
      <c r="A1" s="9" t="inlineStr">
        <is>
          <t>Order ID</t>
        </is>
      </c>
      <c r="B1" s="9" t="inlineStr">
        <is>
          <t>Shopify Order #</t>
        </is>
      </c>
      <c r="C1" s="9" t="inlineStr">
        <is>
          <t>Customer Name</t>
        </is>
      </c>
      <c r="D1" s="9" t="inlineStr">
        <is>
          <t>Order Date</t>
        </is>
      </c>
      <c r="E1" s="9" t="inlineStr">
        <is>
          <t>Total Price (Rs.)</t>
        </is>
      </c>
      <c r="F1" s="9" t="inlineStr">
        <is>
          <t>Financial Status</t>
        </is>
      </c>
      <c r="G1" s="9" t="inlineStr">
        <is>
          <t>Fulfillment Status</t>
        </is>
      </c>
      <c r="H1" s="9" t="inlineStr">
        <is>
          <t>Shopify Payment Method</t>
        </is>
      </c>
      <c r="I1" s="9" t="inlineStr">
        <is>
          <t>Shiprocket Payment Method</t>
        </is>
      </c>
      <c r="J1" s="9" t="inlineStr">
        <is>
          <t>Assigned Payment Category</t>
        </is>
      </c>
      <c r="K1" s="9" t="inlineStr">
        <is>
          <t>Standard Delivery Status</t>
        </is>
      </c>
      <c r="L1" s="9" t="inlineStr">
        <is>
          <t>Shiprocket Status</t>
        </is>
      </c>
      <c r="M1" s="9" t="inlineStr">
        <is>
          <t>Shipping City</t>
        </is>
      </c>
      <c r="N1" s="9" t="inlineStr">
        <is>
          <t>Shipping State</t>
        </is>
      </c>
      <c r="O1" s="9" t="inlineStr">
        <is>
          <t>Shipping Pincode</t>
        </is>
      </c>
      <c r="P1" s="9" t="inlineStr">
        <is>
          <t>Lineitems Ordered</t>
        </is>
      </c>
      <c r="Q1" s="9" t="inlineStr">
        <is>
          <t>Refunded Amount (Rs.)</t>
        </is>
      </c>
      <c r="R1" s="9" t="inlineStr">
        <is>
          <t>RTO / Cancellation Reason</t>
        </is>
      </c>
    </row>
    <row r="2">
      <c r="A2" s="32" t="n">
        <v>1071</v>
      </c>
      <c r="B2" s="32" t="inlineStr">
        <is>
          <t>#1071</t>
        </is>
      </c>
      <c r="C2" s="44" t="inlineStr">
        <is>
          <t>Soumya Shetty</t>
        </is>
      </c>
      <c r="D2" s="32" t="inlineStr">
        <is>
          <t>2026-06-22</t>
        </is>
      </c>
      <c r="E2" s="45" t="n">
        <v>1112</v>
      </c>
      <c r="F2" s="32" t="inlineStr">
        <is>
          <t>paid</t>
        </is>
      </c>
      <c r="G2" s="32" t="inlineStr">
        <is>
          <t>fulfilled</t>
        </is>
      </c>
      <c r="H2" s="44" t="inlineStr">
        <is>
          <t>01 Cards, UPI, NB, Wallets by Razorpay</t>
        </is>
      </c>
      <c r="I2" s="32" t="inlineStr">
        <is>
          <t>prepaid</t>
        </is>
      </c>
      <c r="J2" s="32" t="inlineStr">
        <is>
          <t>Prepaid</t>
        </is>
      </c>
      <c r="K2" s="32" t="inlineStr">
        <is>
          <t>Delivered</t>
        </is>
      </c>
      <c r="L2" s="44" t="inlineStr">
        <is>
          <t>DELIVERED</t>
        </is>
      </c>
      <c r="M2" s="44" t="inlineStr">
        <is>
          <t>Bijapur</t>
        </is>
      </c>
      <c r="N2" s="44" t="inlineStr">
        <is>
          <t>Karnataka</t>
        </is>
      </c>
      <c r="O2" s="32" t="inlineStr">
        <is>
          <t>'586101</t>
        </is>
      </c>
      <c r="P2" s="44" t="inlineStr">
        <is>
          <t>Sapphire Charm Top - M</t>
        </is>
      </c>
      <c r="Q2" s="45" t="n">
        <v>0</v>
      </c>
      <c r="R2" s="44" t="inlineStr">
        <is>
          <t>NonDeliveredDispute</t>
        </is>
      </c>
    </row>
    <row r="3">
      <c r="A3" s="35" t="n">
        <v>1078</v>
      </c>
      <c r="B3" s="35" t="inlineStr">
        <is>
          <t>#1078</t>
        </is>
      </c>
      <c r="C3" s="28" t="inlineStr">
        <is>
          <t>Gomathi Dhanapal</t>
        </is>
      </c>
      <c r="D3" s="35" t="inlineStr">
        <is>
          <t>2026-06-24</t>
        </is>
      </c>
      <c r="E3" s="46" t="n">
        <v>1112</v>
      </c>
      <c r="F3" s="35" t="inlineStr">
        <is>
          <t>paid</t>
        </is>
      </c>
      <c r="G3" s="35" t="inlineStr">
        <is>
          <t>fulfilled</t>
        </is>
      </c>
      <c r="H3" s="28" t="inlineStr">
        <is>
          <t>01 Cards, UPI, NB, Wallets by Razorpay</t>
        </is>
      </c>
      <c r="I3" s="35" t="inlineStr">
        <is>
          <t>prepaid</t>
        </is>
      </c>
      <c r="J3" s="35" t="inlineStr">
        <is>
          <t>Prepaid</t>
        </is>
      </c>
      <c r="K3" s="35" t="inlineStr">
        <is>
          <t>Delivered</t>
        </is>
      </c>
      <c r="L3" s="28" t="inlineStr">
        <is>
          <t>DELIVERED</t>
        </is>
      </c>
      <c r="M3" s="28" t="inlineStr">
        <is>
          <t>Chennai</t>
        </is>
      </c>
      <c r="N3" s="28" t="inlineStr">
        <is>
          <t>Tamil Nadu</t>
        </is>
      </c>
      <c r="O3" s="35" t="inlineStr">
        <is>
          <t>'600073</t>
        </is>
      </c>
      <c r="P3" s="28" t="inlineStr">
        <is>
          <t>Wine Blossom Top - XL</t>
        </is>
      </c>
      <c r="Q3" s="46" t="n">
        <v>0</v>
      </c>
      <c r="R3" s="28" t="inlineStr"/>
    </row>
    <row r="4">
      <c r="A4" s="32" t="n">
        <v>1079</v>
      </c>
      <c r="B4" s="32" t="inlineStr">
        <is>
          <t>#1079</t>
        </is>
      </c>
      <c r="C4" s="44" t="inlineStr">
        <is>
          <t>Mohana Mona</t>
        </is>
      </c>
      <c r="D4" s="32" t="inlineStr">
        <is>
          <t>2026-06-24</t>
        </is>
      </c>
      <c r="E4" s="45" t="n">
        <v>1032</v>
      </c>
      <c r="F4" s="32" t="inlineStr">
        <is>
          <t>voided</t>
        </is>
      </c>
      <c r="G4" s="32" t="inlineStr">
        <is>
          <t>unfulfilled</t>
        </is>
      </c>
      <c r="H4" s="44" t="inlineStr">
        <is>
          <t>Cash on Delivery (COD)</t>
        </is>
      </c>
      <c r="I4" s="32" t="inlineStr">
        <is>
          <t>cod</t>
        </is>
      </c>
      <c r="J4" s="32" t="inlineStr">
        <is>
          <t>COD</t>
        </is>
      </c>
      <c r="K4" s="32" t="inlineStr">
        <is>
          <t>Canceled</t>
        </is>
      </c>
      <c r="L4" s="44" t="inlineStr">
        <is>
          <t>CANCELED</t>
        </is>
      </c>
      <c r="M4" s="44" t="inlineStr">
        <is>
          <t>Dharmapuri</t>
        </is>
      </c>
      <c r="N4" s="44" t="inlineStr">
        <is>
          <t>Tamil Nadu</t>
        </is>
      </c>
      <c r="O4" s="32" t="inlineStr">
        <is>
          <t>'636705</t>
        </is>
      </c>
      <c r="P4" s="44" t="inlineStr">
        <is>
          <t>Moss Majesty - M</t>
        </is>
      </c>
      <c r="Q4" s="45" t="n">
        <v>0</v>
      </c>
      <c r="R4" s="44" t="inlineStr"/>
    </row>
    <row r="5">
      <c r="A5" s="35" t="n">
        <v>1080</v>
      </c>
      <c r="B5" s="35" t="inlineStr">
        <is>
          <t>#1080</t>
        </is>
      </c>
      <c r="C5" s="28" t="inlineStr">
        <is>
          <t>Chandraelectro Corporation</t>
        </is>
      </c>
      <c r="D5" s="35" t="inlineStr">
        <is>
          <t>2026-06-24</t>
        </is>
      </c>
      <c r="E5" s="46" t="n">
        <v>3176</v>
      </c>
      <c r="F5" s="35" t="inlineStr">
        <is>
          <t>paid</t>
        </is>
      </c>
      <c r="G5" s="35" t="inlineStr">
        <is>
          <t>fulfilled</t>
        </is>
      </c>
      <c r="H5" s="28" t="inlineStr">
        <is>
          <t>01 Cards, UPI, NB, Wallets by Razorpay</t>
        </is>
      </c>
      <c r="I5" s="35" t="inlineStr">
        <is>
          <t>prepaid</t>
        </is>
      </c>
      <c r="J5" s="35" t="inlineStr">
        <is>
          <t>Prepaid</t>
        </is>
      </c>
      <c r="K5" s="35" t="inlineStr">
        <is>
          <t>Delivered</t>
        </is>
      </c>
      <c r="L5" s="28" t="inlineStr">
        <is>
          <t>DELIVERED</t>
        </is>
      </c>
      <c r="M5" s="28" t="inlineStr">
        <is>
          <t>Madurai</t>
        </is>
      </c>
      <c r="N5" s="28" t="inlineStr">
        <is>
          <t>Tamil Nadu</t>
        </is>
      </c>
      <c r="O5" s="35" t="inlineStr">
        <is>
          <t>'625001</t>
        </is>
      </c>
      <c r="P5" s="28" t="inlineStr">
        <is>
          <t>Teal Tempo - 2XL, Mystic Mist Red - 2XL, Rustara - XXL</t>
        </is>
      </c>
      <c r="Q5" s="46" t="n">
        <v>0</v>
      </c>
      <c r="R5" s="28" t="inlineStr"/>
    </row>
    <row r="6">
      <c r="A6" s="32" t="n">
        <v>1081</v>
      </c>
      <c r="B6" s="32" t="inlineStr">
        <is>
          <t>#1081</t>
        </is>
      </c>
      <c r="C6" s="44" t="inlineStr">
        <is>
          <t>Harshini Rajendran</t>
        </is>
      </c>
      <c r="D6" s="32" t="inlineStr">
        <is>
          <t>2026-06-24</t>
        </is>
      </c>
      <c r="E6" s="45" t="n">
        <v>1290</v>
      </c>
      <c r="F6" s="32" t="inlineStr">
        <is>
          <t>pending</t>
        </is>
      </c>
      <c r="G6" s="32" t="inlineStr">
        <is>
          <t>fulfilled</t>
        </is>
      </c>
      <c r="H6" s="44" t="inlineStr">
        <is>
          <t>Cash on Delivery (COD)</t>
        </is>
      </c>
      <c r="I6" s="32" t="inlineStr">
        <is>
          <t>cod</t>
        </is>
      </c>
      <c r="J6" s="32" t="inlineStr">
        <is>
          <t>COD</t>
        </is>
      </c>
      <c r="K6" s="32" t="inlineStr">
        <is>
          <t>RTO / Returned</t>
        </is>
      </c>
      <c r="L6" s="44" t="inlineStr">
        <is>
          <t>RTO DELIVERED</t>
        </is>
      </c>
      <c r="M6" s="44" t="inlineStr">
        <is>
          <t>Karaikudi</t>
        </is>
      </c>
      <c r="N6" s="44" t="inlineStr">
        <is>
          <t>Tamil Nadu</t>
        </is>
      </c>
      <c r="O6" s="32" t="inlineStr">
        <is>
          <t>'630003</t>
        </is>
      </c>
      <c r="P6" s="44" t="inlineStr">
        <is>
          <t>Mystic Mist Red - S</t>
        </is>
      </c>
      <c r="Q6" s="45" t="n">
        <v>0</v>
      </c>
      <c r="R6" s="44" t="inlineStr">
        <is>
          <t>Customer Refused To Accept - OTP Verified</t>
        </is>
      </c>
    </row>
    <row r="7">
      <c r="A7" s="35" t="n">
        <v>1082</v>
      </c>
      <c r="B7" s="35" t="inlineStr">
        <is>
          <t>#1082</t>
        </is>
      </c>
      <c r="C7" s="28" t="inlineStr">
        <is>
          <t>Harshini Rajendran</t>
        </is>
      </c>
      <c r="D7" s="35" t="inlineStr">
        <is>
          <t>2026-06-24</t>
        </is>
      </c>
      <c r="E7" s="46" t="n">
        <v>1290</v>
      </c>
      <c r="F7" s="35" t="inlineStr">
        <is>
          <t>pending</t>
        </is>
      </c>
      <c r="G7" s="35" t="inlineStr">
        <is>
          <t>fulfilled</t>
        </is>
      </c>
      <c r="H7" s="28" t="inlineStr">
        <is>
          <t>Cash on Delivery (COD)</t>
        </is>
      </c>
      <c r="I7" s="35" t="inlineStr">
        <is>
          <t>cod</t>
        </is>
      </c>
      <c r="J7" s="35" t="inlineStr">
        <is>
          <t>COD</t>
        </is>
      </c>
      <c r="K7" s="35" t="inlineStr">
        <is>
          <t>RTO / Returned</t>
        </is>
      </c>
      <c r="L7" s="28" t="inlineStr">
        <is>
          <t>RTO DELIVERED</t>
        </is>
      </c>
      <c r="M7" s="28" t="inlineStr">
        <is>
          <t>Karaikudi</t>
        </is>
      </c>
      <c r="N7" s="28" t="inlineStr">
        <is>
          <t>Tamil Nadu</t>
        </is>
      </c>
      <c r="O7" s="35" t="inlineStr">
        <is>
          <t>'630003</t>
        </is>
      </c>
      <c r="P7" s="28" t="inlineStr">
        <is>
          <t>Urban Ruby - XL</t>
        </is>
      </c>
      <c r="Q7" s="46" t="n">
        <v>0</v>
      </c>
      <c r="R7" s="28" t="inlineStr">
        <is>
          <t>Customer Refused To Accept - OTP Verified</t>
        </is>
      </c>
    </row>
    <row r="8">
      <c r="A8" s="32" t="n">
        <v>1083</v>
      </c>
      <c r="B8" s="32" t="inlineStr">
        <is>
          <t>#1083</t>
        </is>
      </c>
      <c r="C8" s="44" t="inlineStr">
        <is>
          <t>Sukanya R</t>
        </is>
      </c>
      <c r="D8" s="32" t="inlineStr">
        <is>
          <t>2026-06-24</t>
        </is>
      </c>
      <c r="E8" s="45" t="n">
        <v>2144</v>
      </c>
      <c r="F8" s="32" t="inlineStr">
        <is>
          <t>paid</t>
        </is>
      </c>
      <c r="G8" s="32" t="inlineStr">
        <is>
          <t>fulfilled</t>
        </is>
      </c>
      <c r="H8" s="44" t="inlineStr">
        <is>
          <t>Cash on Delivery (COD)</t>
        </is>
      </c>
      <c r="I8" s="32" t="inlineStr">
        <is>
          <t>cod</t>
        </is>
      </c>
      <c r="J8" s="32" t="inlineStr">
        <is>
          <t>COD</t>
        </is>
      </c>
      <c r="K8" s="32" t="inlineStr">
        <is>
          <t>SELF FULFILED</t>
        </is>
      </c>
      <c r="L8" s="44" t="inlineStr">
        <is>
          <t>SELF FULFILED</t>
        </is>
      </c>
      <c r="M8" s="44" t="inlineStr">
        <is>
          <t>Chennai</t>
        </is>
      </c>
      <c r="N8" s="44" t="inlineStr">
        <is>
          <t>Tamil Nadu</t>
        </is>
      </c>
      <c r="O8" s="32" t="inlineStr">
        <is>
          <t>'600095</t>
        </is>
      </c>
      <c r="P8" s="44" t="inlineStr">
        <is>
          <t>Coral Bloom Top - M, Purple Panache - M</t>
        </is>
      </c>
      <c r="Q8" s="45" t="n">
        <v>0</v>
      </c>
      <c r="R8" s="44" t="inlineStr"/>
    </row>
    <row r="9">
      <c r="A9" s="35" t="n">
        <v>1084</v>
      </c>
      <c r="B9" s="35" t="inlineStr">
        <is>
          <t>#1084</t>
        </is>
      </c>
      <c r="C9" s="28" t="inlineStr">
        <is>
          <t>Gowri R</t>
        </is>
      </c>
      <c r="D9" s="35" t="inlineStr">
        <is>
          <t>2026-06-25</t>
        </is>
      </c>
      <c r="E9" s="46" t="n">
        <v>1112</v>
      </c>
      <c r="F9" s="35" t="inlineStr">
        <is>
          <t>paid</t>
        </is>
      </c>
      <c r="G9" s="35" t="inlineStr">
        <is>
          <t>fulfilled</t>
        </is>
      </c>
      <c r="H9" s="28" t="inlineStr">
        <is>
          <t>01 Cards, UPI, NB, Wallets by Razorpay</t>
        </is>
      </c>
      <c r="I9" s="35" t="inlineStr">
        <is>
          <t>prepaid</t>
        </is>
      </c>
      <c r="J9" s="35" t="inlineStr">
        <is>
          <t>Prepaid</t>
        </is>
      </c>
      <c r="K9" s="35" t="inlineStr">
        <is>
          <t>Delivered</t>
        </is>
      </c>
      <c r="L9" s="28" t="inlineStr">
        <is>
          <t>DELIVERED</t>
        </is>
      </c>
      <c r="M9" s="28" t="inlineStr">
        <is>
          <t>Chennai</t>
        </is>
      </c>
      <c r="N9" s="28" t="inlineStr">
        <is>
          <t>Tamil Nadu</t>
        </is>
      </c>
      <c r="O9" s="35" t="inlineStr">
        <is>
          <t>'600096</t>
        </is>
      </c>
      <c r="P9" s="28" t="inlineStr">
        <is>
          <t>Sunset Petal - XL</t>
        </is>
      </c>
      <c r="Q9" s="46" t="n">
        <v>0</v>
      </c>
      <c r="R9" s="28" t="inlineStr">
        <is>
          <t>Customer Not Responding</t>
        </is>
      </c>
    </row>
    <row r="10">
      <c r="A10" s="32" t="n">
        <v>1085</v>
      </c>
      <c r="B10" s="32" t="inlineStr">
        <is>
          <t>#1085</t>
        </is>
      </c>
      <c r="C10" s="44" t="inlineStr">
        <is>
          <t>Mohanakrishnan Devanathan</t>
        </is>
      </c>
      <c r="D10" s="32" t="inlineStr">
        <is>
          <t>2026-06-25</t>
        </is>
      </c>
      <c r="E10" s="45" t="n">
        <v>1032</v>
      </c>
      <c r="F10" s="32" t="inlineStr">
        <is>
          <t>paid</t>
        </is>
      </c>
      <c r="G10" s="32" t="inlineStr">
        <is>
          <t>fulfilled</t>
        </is>
      </c>
      <c r="H10" s="44" t="inlineStr">
        <is>
          <t>Cash on Delivery (COD)</t>
        </is>
      </c>
      <c r="I10" s="32" t="inlineStr">
        <is>
          <t>cod</t>
        </is>
      </c>
      <c r="J10" s="32" t="inlineStr">
        <is>
          <t>COD</t>
        </is>
      </c>
      <c r="K10" s="32" t="inlineStr">
        <is>
          <t>Delivered</t>
        </is>
      </c>
      <c r="L10" s="44" t="inlineStr">
        <is>
          <t>DELIVERED</t>
        </is>
      </c>
      <c r="M10" s="44" t="inlineStr">
        <is>
          <t>Puducherry</t>
        </is>
      </c>
      <c r="N10" s="44" t="inlineStr">
        <is>
          <t>Puducherry</t>
        </is>
      </c>
      <c r="O10" s="32" t="inlineStr">
        <is>
          <t>'605006</t>
        </is>
      </c>
      <c r="P10" s="44" t="inlineStr">
        <is>
          <t>Purple Panache - M</t>
        </is>
      </c>
      <c r="Q10" s="45" t="n">
        <v>0</v>
      </c>
      <c r="R10" s="44" t="inlineStr"/>
    </row>
    <row r="11">
      <c r="A11" s="35" t="n">
        <v>1086</v>
      </c>
      <c r="B11" s="35" t="inlineStr">
        <is>
          <t>#1086</t>
        </is>
      </c>
      <c r="C11" s="28" t="inlineStr">
        <is>
          <t>D Keerthi</t>
        </is>
      </c>
      <c r="D11" s="35" t="inlineStr">
        <is>
          <t>2026-06-25</t>
        </is>
      </c>
      <c r="E11" s="46" t="n">
        <v>1032</v>
      </c>
      <c r="F11" s="35" t="inlineStr">
        <is>
          <t>paid</t>
        </is>
      </c>
      <c r="G11" s="35" t="inlineStr">
        <is>
          <t>fulfilled</t>
        </is>
      </c>
      <c r="H11" s="28" t="inlineStr">
        <is>
          <t>Cash on Delivery (COD)</t>
        </is>
      </c>
      <c r="I11" s="35" t="inlineStr">
        <is>
          <t>cod</t>
        </is>
      </c>
      <c r="J11" s="35" t="inlineStr">
        <is>
          <t>COD</t>
        </is>
      </c>
      <c r="K11" s="35" t="inlineStr">
        <is>
          <t>Delivered</t>
        </is>
      </c>
      <c r="L11" s="28" t="inlineStr">
        <is>
          <t>DELIVERED</t>
        </is>
      </c>
      <c r="M11" s="28" t="inlineStr">
        <is>
          <t>Chittoor</t>
        </is>
      </c>
      <c r="N11" s="28" t="inlineStr">
        <is>
          <t>Andhra Pradesh</t>
        </is>
      </c>
      <c r="O11" s="35" t="inlineStr">
        <is>
          <t>'517234</t>
        </is>
      </c>
      <c r="P11" s="28" t="inlineStr">
        <is>
          <t>Bold Basil - 3XL</t>
        </is>
      </c>
      <c r="Q11" s="46" t="n">
        <v>0</v>
      </c>
      <c r="R11" s="28" t="inlineStr"/>
    </row>
    <row r="12">
      <c r="A12" s="32" t="n">
        <v>1087</v>
      </c>
      <c r="B12" s="32" t="inlineStr">
        <is>
          <t>#1087</t>
        </is>
      </c>
      <c r="C12" s="44" t="inlineStr">
        <is>
          <t>Devi Rv</t>
        </is>
      </c>
      <c r="D12" s="32" t="inlineStr">
        <is>
          <t>2026-06-25</t>
        </is>
      </c>
      <c r="E12" s="45" t="n">
        <v>1290</v>
      </c>
      <c r="F12" s="32" t="inlineStr">
        <is>
          <t>pending</t>
        </is>
      </c>
      <c r="G12" s="32" t="inlineStr">
        <is>
          <t>fulfilled</t>
        </is>
      </c>
      <c r="H12" s="44" t="inlineStr">
        <is>
          <t>Cash on Delivery (COD)</t>
        </is>
      </c>
      <c r="I12" s="32" t="inlineStr">
        <is>
          <t>cod</t>
        </is>
      </c>
      <c r="J12" s="32" t="inlineStr">
        <is>
          <t>COD</t>
        </is>
      </c>
      <c r="K12" s="32" t="inlineStr">
        <is>
          <t>RTO / Returned</t>
        </is>
      </c>
      <c r="L12" s="44" t="inlineStr">
        <is>
          <t>RTO DELIVERED</t>
        </is>
      </c>
      <c r="M12" s="44" t="inlineStr">
        <is>
          <t>Chennai</t>
        </is>
      </c>
      <c r="N12" s="44" t="inlineStr">
        <is>
          <t>Tamil Nadu</t>
        </is>
      </c>
      <c r="O12" s="32" t="inlineStr">
        <is>
          <t>'600110</t>
        </is>
      </c>
      <c r="P12" s="44" t="inlineStr">
        <is>
          <t>Bold Basil - 2XL</t>
        </is>
      </c>
      <c r="Q12" s="45" t="n">
        <v>0</v>
      </c>
      <c r="R12" s="44" t="inlineStr">
        <is>
          <t>Customer not contactable</t>
        </is>
      </c>
    </row>
    <row r="13">
      <c r="A13" s="35" t="n">
        <v>1088</v>
      </c>
      <c r="B13" s="35" t="inlineStr">
        <is>
          <t>#1088</t>
        </is>
      </c>
      <c r="C13" s="28" t="inlineStr">
        <is>
          <t>Nutan Manerkar</t>
        </is>
      </c>
      <c r="D13" s="35" t="inlineStr">
        <is>
          <t>2026-06-25</t>
        </is>
      </c>
      <c r="E13" s="46" t="n">
        <v>1112</v>
      </c>
      <c r="F13" s="35" t="inlineStr">
        <is>
          <t>paid</t>
        </is>
      </c>
      <c r="G13" s="35" t="inlineStr">
        <is>
          <t>fulfilled</t>
        </is>
      </c>
      <c r="H13" s="28" t="inlineStr">
        <is>
          <t>01 Cards, UPI, NB, Wallets by Razorpay</t>
        </is>
      </c>
      <c r="I13" s="35" t="inlineStr">
        <is>
          <t>prepaid</t>
        </is>
      </c>
      <c r="J13" s="35" t="inlineStr">
        <is>
          <t>Prepaid</t>
        </is>
      </c>
      <c r="K13" s="35" t="inlineStr">
        <is>
          <t>SELF FULFILED</t>
        </is>
      </c>
      <c r="L13" s="28" t="inlineStr">
        <is>
          <t>SELF FULFILED</t>
        </is>
      </c>
      <c r="M13" s="28" t="inlineStr">
        <is>
          <t>Margao</t>
        </is>
      </c>
      <c r="N13" s="28" t="inlineStr">
        <is>
          <t>Goa</t>
        </is>
      </c>
      <c r="O13" s="35" t="inlineStr">
        <is>
          <t>'403601</t>
        </is>
      </c>
      <c r="P13" s="28" t="inlineStr">
        <is>
          <t>Wine Blossom Top - 2XL</t>
        </is>
      </c>
      <c r="Q13" s="46" t="n">
        <v>0</v>
      </c>
      <c r="R13" s="28" t="inlineStr"/>
    </row>
    <row r="14">
      <c r="A14" s="32" t="n">
        <v>1089</v>
      </c>
      <c r="B14" s="32" t="inlineStr">
        <is>
          <t>#1089</t>
        </is>
      </c>
      <c r="C14" s="44" t="inlineStr">
        <is>
          <t>Divya Divya</t>
        </is>
      </c>
      <c r="D14" s="32" t="inlineStr">
        <is>
          <t>2026-06-25</t>
        </is>
      </c>
      <c r="E14" s="45" t="n">
        <v>1290</v>
      </c>
      <c r="F14" s="32" t="inlineStr">
        <is>
          <t>paid</t>
        </is>
      </c>
      <c r="G14" s="32" t="inlineStr">
        <is>
          <t>fulfilled</t>
        </is>
      </c>
      <c r="H14" s="44" t="inlineStr">
        <is>
          <t>Cash on Delivery (COD)</t>
        </is>
      </c>
      <c r="I14" s="32" t="inlineStr">
        <is>
          <t>cod</t>
        </is>
      </c>
      <c r="J14" s="32" t="inlineStr">
        <is>
          <t>COD</t>
        </is>
      </c>
      <c r="K14" s="32" t="inlineStr">
        <is>
          <t>Delivered</t>
        </is>
      </c>
      <c r="L14" s="44" t="inlineStr">
        <is>
          <t>DELIVERED</t>
        </is>
      </c>
      <c r="M14" s="44" t="inlineStr">
        <is>
          <t>Kuppatti</t>
        </is>
      </c>
      <c r="N14" s="44" t="inlineStr">
        <is>
          <t>Tamil Nadu</t>
        </is>
      </c>
      <c r="O14" s="32" t="inlineStr">
        <is>
          <t>'635118</t>
        </is>
      </c>
      <c r="P14" s="44" t="inlineStr">
        <is>
          <t>Moss Majesty - L</t>
        </is>
      </c>
      <c r="Q14" s="45" t="n">
        <v>0</v>
      </c>
      <c r="R14" s="44" t="inlineStr"/>
    </row>
    <row r="15">
      <c r="A15" s="35" t="n">
        <v>1090</v>
      </c>
      <c r="B15" s="35" t="inlineStr">
        <is>
          <t>#1090</t>
        </is>
      </c>
      <c r="C15" s="28" t="inlineStr">
        <is>
          <t>Kamal Thiyagarajan</t>
        </is>
      </c>
      <c r="D15" s="35" t="inlineStr">
        <is>
          <t>2026-06-25</t>
        </is>
      </c>
      <c r="E15" s="46" t="n">
        <v>1112</v>
      </c>
      <c r="F15" s="35" t="inlineStr">
        <is>
          <t>paid</t>
        </is>
      </c>
      <c r="G15" s="35" t="inlineStr">
        <is>
          <t>fulfilled</t>
        </is>
      </c>
      <c r="H15" s="28" t="inlineStr">
        <is>
          <t>Cash on Delivery (COD)</t>
        </is>
      </c>
      <c r="I15" s="35" t="inlineStr">
        <is>
          <t>cod</t>
        </is>
      </c>
      <c r="J15" s="35" t="inlineStr">
        <is>
          <t>COD</t>
        </is>
      </c>
      <c r="K15" s="35" t="inlineStr">
        <is>
          <t>Delivered</t>
        </is>
      </c>
      <c r="L15" s="28" t="inlineStr">
        <is>
          <t>DELIVERED</t>
        </is>
      </c>
      <c r="M15" s="28" t="inlineStr">
        <is>
          <t>Tirupur</t>
        </is>
      </c>
      <c r="N15" s="28" t="inlineStr">
        <is>
          <t>Tamil Nadu</t>
        </is>
      </c>
      <c r="O15" s="35" t="inlineStr">
        <is>
          <t>'641606</t>
        </is>
      </c>
      <c r="P15" s="28" t="inlineStr">
        <is>
          <t>Vanya Bloom Top - S</t>
        </is>
      </c>
      <c r="Q15" s="46" t="n">
        <v>0</v>
      </c>
      <c r="R15" s="28" t="inlineStr"/>
    </row>
    <row r="16">
      <c r="A16" s="32" t="n">
        <v>1091</v>
      </c>
      <c r="B16" s="32" t="inlineStr">
        <is>
          <t>#1091</t>
        </is>
      </c>
      <c r="C16" s="44" t="inlineStr">
        <is>
          <t>Vijay Aadarsh Adarsh</t>
        </is>
      </c>
      <c r="D16" s="32" t="inlineStr">
        <is>
          <t>2026-06-27</t>
        </is>
      </c>
      <c r="E16" s="45" t="n">
        <v>1112</v>
      </c>
      <c r="F16" s="32" t="inlineStr">
        <is>
          <t>pending</t>
        </is>
      </c>
      <c r="G16" s="32" t="inlineStr">
        <is>
          <t>fulfilled</t>
        </is>
      </c>
      <c r="H16" s="44" t="inlineStr">
        <is>
          <t>Cash on Delivery (COD)</t>
        </is>
      </c>
      <c r="I16" s="32" t="inlineStr">
        <is>
          <t>cod</t>
        </is>
      </c>
      <c r="J16" s="32" t="inlineStr">
        <is>
          <t>COD</t>
        </is>
      </c>
      <c r="K16" s="32" t="inlineStr">
        <is>
          <t>RTO / Returned</t>
        </is>
      </c>
      <c r="L16" s="44" t="inlineStr">
        <is>
          <t>RTO DELIVERED</t>
        </is>
      </c>
      <c r="M16" s="44" t="inlineStr">
        <is>
          <t>Coimbatore</t>
        </is>
      </c>
      <c r="N16" s="44" t="inlineStr">
        <is>
          <t>Tamil Nadu</t>
        </is>
      </c>
      <c r="O16" s="32" t="inlineStr">
        <is>
          <t>'641107</t>
        </is>
      </c>
      <c r="P16" s="44" t="inlineStr">
        <is>
          <t>Wine Blossom Top - XL</t>
        </is>
      </c>
      <c r="Q16" s="45" t="n">
        <v>0</v>
      </c>
      <c r="R16" s="44" t="inlineStr">
        <is>
          <t>PNA|RECEIVER NOT AVAILABLE/REACHABLE OVER PHONE</t>
        </is>
      </c>
    </row>
    <row r="17">
      <c r="A17" s="35" t="n">
        <v>1092</v>
      </c>
      <c r="B17" s="35" t="inlineStr">
        <is>
          <t>#1092</t>
        </is>
      </c>
      <c r="C17" s="28" t="inlineStr">
        <is>
          <t>Kowsalya</t>
        </is>
      </c>
      <c r="D17" s="35" t="inlineStr">
        <is>
          <t>2026-06-27</t>
        </is>
      </c>
      <c r="E17" s="46" t="n">
        <v>1290</v>
      </c>
      <c r="F17" s="35" t="inlineStr">
        <is>
          <t>pending</t>
        </is>
      </c>
      <c r="G17" s="35" t="inlineStr">
        <is>
          <t>fulfilled</t>
        </is>
      </c>
      <c r="H17" s="28" t="inlineStr">
        <is>
          <t>Cash on Delivery (COD)</t>
        </is>
      </c>
      <c r="I17" s="35" t="inlineStr">
        <is>
          <t>cod</t>
        </is>
      </c>
      <c r="J17" s="35" t="inlineStr">
        <is>
          <t>COD</t>
        </is>
      </c>
      <c r="K17" s="35" t="inlineStr">
        <is>
          <t>RTO / Returned</t>
        </is>
      </c>
      <c r="L17" s="28" t="inlineStr">
        <is>
          <t>RTO DELIVERED</t>
        </is>
      </c>
      <c r="M17" s="28" t="inlineStr">
        <is>
          <t>Chennai</t>
        </is>
      </c>
      <c r="N17" s="28" t="inlineStr">
        <is>
          <t>Tamil Nadu</t>
        </is>
      </c>
      <c r="O17" s="35" t="inlineStr">
        <is>
          <t>'600096</t>
        </is>
      </c>
      <c r="P17" s="28" t="inlineStr">
        <is>
          <t>Moss Majesty - S</t>
        </is>
      </c>
      <c r="Q17" s="46" t="n">
        <v>0</v>
      </c>
      <c r="R17" s="28" t="inlineStr">
        <is>
          <t>Customer not available x Office or Residence closed</t>
        </is>
      </c>
    </row>
    <row r="18">
      <c r="A18" s="32" t="n">
        <v>1093</v>
      </c>
      <c r="B18" s="32" t="inlineStr">
        <is>
          <t>#1093</t>
        </is>
      </c>
      <c r="C18" s="44" t="inlineStr">
        <is>
          <t>Ramya Gowda</t>
        </is>
      </c>
      <c r="D18" s="32" t="inlineStr">
        <is>
          <t>2026-06-27</t>
        </is>
      </c>
      <c r="E18" s="45" t="n">
        <v>1032</v>
      </c>
      <c r="F18" s="32" t="inlineStr">
        <is>
          <t>pending</t>
        </is>
      </c>
      <c r="G18" s="32" t="inlineStr">
        <is>
          <t>fulfilled</t>
        </is>
      </c>
      <c r="H18" s="44" t="inlineStr">
        <is>
          <t>Cash on Delivery (COD)</t>
        </is>
      </c>
      <c r="I18" s="32" t="inlineStr">
        <is>
          <t>cod</t>
        </is>
      </c>
      <c r="J18" s="32" t="inlineStr">
        <is>
          <t>COD</t>
        </is>
      </c>
      <c r="K18" s="32" t="inlineStr">
        <is>
          <t>RTO / Returned</t>
        </is>
      </c>
      <c r="L18" s="44" t="inlineStr">
        <is>
          <t>RTO DELIVERED</t>
        </is>
      </c>
      <c r="M18" s="44" t="inlineStr">
        <is>
          <t>Bengaluru</t>
        </is>
      </c>
      <c r="N18" s="44" t="inlineStr">
        <is>
          <t>Karnataka</t>
        </is>
      </c>
      <c r="O18" s="32" t="inlineStr">
        <is>
          <t>'560091</t>
        </is>
      </c>
      <c r="P18" s="44" t="inlineStr">
        <is>
          <t>Bold Basil - 2XL</t>
        </is>
      </c>
      <c r="Q18" s="45" t="n">
        <v>0</v>
      </c>
      <c r="R18" s="44" t="inlineStr">
        <is>
          <t>CustomerUnavailable_DeliveryAttempted</t>
        </is>
      </c>
    </row>
    <row r="19">
      <c r="A19" s="35" t="n">
        <v>1094</v>
      </c>
      <c r="B19" s="35" t="inlineStr">
        <is>
          <t>#1094</t>
        </is>
      </c>
      <c r="C19" s="28" t="inlineStr">
        <is>
          <t>Usha .R</t>
        </is>
      </c>
      <c r="D19" s="35" t="inlineStr">
        <is>
          <t>2026-06-27</t>
        </is>
      </c>
      <c r="E19" s="46" t="n">
        <v>1032</v>
      </c>
      <c r="F19" s="35" t="inlineStr">
        <is>
          <t>paid</t>
        </is>
      </c>
      <c r="G19" s="35" t="inlineStr">
        <is>
          <t>fulfilled</t>
        </is>
      </c>
      <c r="H19" s="28" t="inlineStr">
        <is>
          <t>01 Cards, UPI, NB, Wallets by Razorpay</t>
        </is>
      </c>
      <c r="I19" s="35" t="inlineStr">
        <is>
          <t>prepaid</t>
        </is>
      </c>
      <c r="J19" s="35" t="inlineStr">
        <is>
          <t>Prepaid</t>
        </is>
      </c>
      <c r="K19" s="35" t="inlineStr">
        <is>
          <t>Delivered</t>
        </is>
      </c>
      <c r="L19" s="28" t="inlineStr">
        <is>
          <t>DELIVERED</t>
        </is>
      </c>
      <c r="M19" s="28" t="inlineStr">
        <is>
          <t>Hosur</t>
        </is>
      </c>
      <c r="N19" s="28" t="inlineStr">
        <is>
          <t>Tamil Nadu</t>
        </is>
      </c>
      <c r="O19" s="35" t="inlineStr">
        <is>
          <t>'635109</t>
        </is>
      </c>
      <c r="P19" s="28" t="inlineStr">
        <is>
          <t>Dainty Dots Teal - 3XL</t>
        </is>
      </c>
      <c r="Q19" s="46" t="n">
        <v>0</v>
      </c>
      <c r="R19" s="28" t="inlineStr"/>
    </row>
    <row r="20">
      <c r="A20" s="32" t="n">
        <v>1095</v>
      </c>
      <c r="B20" s="32" t="inlineStr">
        <is>
          <t>#1095</t>
        </is>
      </c>
      <c r="C20" s="44" t="inlineStr">
        <is>
          <t>Priya Dharshini Pd</t>
        </is>
      </c>
      <c r="D20" s="32" t="inlineStr">
        <is>
          <t>2026-06-27</t>
        </is>
      </c>
      <c r="E20" s="45" t="n">
        <v>1112</v>
      </c>
      <c r="F20" s="32" t="inlineStr">
        <is>
          <t>paid</t>
        </is>
      </c>
      <c r="G20" s="32" t="inlineStr">
        <is>
          <t>fulfilled</t>
        </is>
      </c>
      <c r="H20" s="44" t="inlineStr">
        <is>
          <t>Cash on Delivery (COD)</t>
        </is>
      </c>
      <c r="I20" s="32" t="inlineStr">
        <is>
          <t>cod</t>
        </is>
      </c>
      <c r="J20" s="32" t="inlineStr">
        <is>
          <t>COD</t>
        </is>
      </c>
      <c r="K20" s="32" t="inlineStr">
        <is>
          <t>Delivered</t>
        </is>
      </c>
      <c r="L20" s="44" t="inlineStr">
        <is>
          <t>DELIVERED</t>
        </is>
      </c>
      <c r="M20" s="44" t="inlineStr">
        <is>
          <t>Villupuram</t>
        </is>
      </c>
      <c r="N20" s="44" t="inlineStr">
        <is>
          <t>Tamil Nadu</t>
        </is>
      </c>
      <c r="O20" s="32" t="inlineStr">
        <is>
          <t>'604204</t>
        </is>
      </c>
      <c r="P20" s="44" t="inlineStr">
        <is>
          <t>Wine Blossom Top - 2XL</t>
        </is>
      </c>
      <c r="Q20" s="45" t="n">
        <v>0</v>
      </c>
      <c r="R20" s="44" t="inlineStr"/>
    </row>
    <row r="21">
      <c r="A21" s="35" t="n">
        <v>1096</v>
      </c>
      <c r="B21" s="35" t="inlineStr">
        <is>
          <t>#1096</t>
        </is>
      </c>
      <c r="C21" s="28" t="inlineStr">
        <is>
          <t>Indu Rekha</t>
        </is>
      </c>
      <c r="D21" s="35" t="inlineStr">
        <is>
          <t>2026-06-27</t>
        </is>
      </c>
      <c r="E21" s="46" t="n">
        <v>2224</v>
      </c>
      <c r="F21" s="35" t="inlineStr">
        <is>
          <t>paid</t>
        </is>
      </c>
      <c r="G21" s="35" t="inlineStr">
        <is>
          <t>fulfilled</t>
        </is>
      </c>
      <c r="H21" s="28" t="inlineStr">
        <is>
          <t>01 Cards, UPI, NB, Wallets by Razorpay</t>
        </is>
      </c>
      <c r="I21" s="35" t="inlineStr">
        <is>
          <t>prepaid</t>
        </is>
      </c>
      <c r="J21" s="35" t="inlineStr">
        <is>
          <t>Prepaid</t>
        </is>
      </c>
      <c r="K21" s="35" t="inlineStr">
        <is>
          <t>Delivered</t>
        </is>
      </c>
      <c r="L21" s="28" t="inlineStr">
        <is>
          <t>DELIVERED</t>
        </is>
      </c>
      <c r="M21" s="28" t="inlineStr">
        <is>
          <t>Anantapur Urban</t>
        </is>
      </c>
      <c r="N21" s="28" t="inlineStr">
        <is>
          <t>Andhra Pradesh</t>
        </is>
      </c>
      <c r="O21" s="35" t="inlineStr">
        <is>
          <t>'515001</t>
        </is>
      </c>
      <c r="P21" s="28" t="inlineStr">
        <is>
          <t>Honey Bloom Top - 3XL, Ocean Elegance Top - 3XL</t>
        </is>
      </c>
      <c r="Q21" s="46" t="n">
        <v>0</v>
      </c>
      <c r="R21" s="28" t="inlineStr"/>
    </row>
    <row r="22">
      <c r="A22" s="32" t="n">
        <v>1097</v>
      </c>
      <c r="B22" s="32" t="inlineStr">
        <is>
          <t>#1097</t>
        </is>
      </c>
      <c r="C22" s="44" t="inlineStr">
        <is>
          <t>Krishna</t>
        </is>
      </c>
      <c r="D22" s="32" t="inlineStr">
        <is>
          <t>2026-06-27</t>
        </is>
      </c>
      <c r="E22" s="45" t="n">
        <v>1112</v>
      </c>
      <c r="F22" s="32" t="inlineStr">
        <is>
          <t>paid</t>
        </is>
      </c>
      <c r="G22" s="32" t="inlineStr">
        <is>
          <t>fulfilled</t>
        </is>
      </c>
      <c r="H22" s="44" t="inlineStr">
        <is>
          <t>01 Cards, UPI, NB, Wallets by Razorpay</t>
        </is>
      </c>
      <c r="I22" s="32" t="inlineStr">
        <is>
          <t>prepaid</t>
        </is>
      </c>
      <c r="J22" s="32" t="inlineStr">
        <is>
          <t>Prepaid</t>
        </is>
      </c>
      <c r="K22" s="32" t="inlineStr">
        <is>
          <t>Delivered</t>
        </is>
      </c>
      <c r="L22" s="44" t="inlineStr">
        <is>
          <t>DELIVERED</t>
        </is>
      </c>
      <c r="M22" s="44" t="inlineStr">
        <is>
          <t>Guntur</t>
        </is>
      </c>
      <c r="N22" s="44" t="inlineStr">
        <is>
          <t>Andhra Pradesh</t>
        </is>
      </c>
      <c r="O22" s="32" t="inlineStr">
        <is>
          <t>'522007</t>
        </is>
      </c>
      <c r="P22" s="44" t="inlineStr">
        <is>
          <t>Grape Leaf Glam - M</t>
        </is>
      </c>
      <c r="Q22" s="45" t="n">
        <v>0</v>
      </c>
      <c r="R22" s="44" t="inlineStr">
        <is>
          <t>CustomerUnavailable_DeliveryAttempted</t>
        </is>
      </c>
    </row>
    <row r="23">
      <c r="A23" s="35" t="n">
        <v>1098</v>
      </c>
      <c r="B23" s="35" t="inlineStr">
        <is>
          <t>#1098</t>
        </is>
      </c>
      <c r="C23" s="28" t="inlineStr">
        <is>
          <t>B Padmapriya</t>
        </is>
      </c>
      <c r="D23" s="35" t="inlineStr">
        <is>
          <t>2026-06-27</t>
        </is>
      </c>
      <c r="E23" s="46" t="n">
        <v>1032</v>
      </c>
      <c r="F23" s="35" t="inlineStr">
        <is>
          <t>paid</t>
        </is>
      </c>
      <c r="G23" s="35" t="inlineStr">
        <is>
          <t>fulfilled</t>
        </is>
      </c>
      <c r="H23" s="28" t="inlineStr">
        <is>
          <t>Cash on Delivery (COD)</t>
        </is>
      </c>
      <c r="I23" s="35" t="inlineStr">
        <is>
          <t>cod</t>
        </is>
      </c>
      <c r="J23" s="35" t="inlineStr">
        <is>
          <t>COD</t>
        </is>
      </c>
      <c r="K23" s="35" t="inlineStr">
        <is>
          <t>Delivered</t>
        </is>
      </c>
      <c r="L23" s="28" t="inlineStr">
        <is>
          <t>DELIVERED</t>
        </is>
      </c>
      <c r="M23" s="28" t="inlineStr">
        <is>
          <t>Secunderabad</t>
        </is>
      </c>
      <c r="N23" s="28" t="inlineStr">
        <is>
          <t>Telangana</t>
        </is>
      </c>
      <c r="O23" s="35" t="inlineStr">
        <is>
          <t>'500017</t>
        </is>
      </c>
      <c r="P23" s="28" t="inlineStr">
        <is>
          <t>Bold Basil - L</t>
        </is>
      </c>
      <c r="Q23" s="46" t="n">
        <v>0</v>
      </c>
      <c r="R23" s="28" t="inlineStr"/>
    </row>
    <row r="24">
      <c r="A24" s="32" t="n">
        <v>1099</v>
      </c>
      <c r="B24" s="32" t="inlineStr">
        <is>
          <t>#1099</t>
        </is>
      </c>
      <c r="C24" s="44" t="inlineStr">
        <is>
          <t>Durai Kannan</t>
        </is>
      </c>
      <c r="D24" s="32" t="inlineStr">
        <is>
          <t>2026-06-27</t>
        </is>
      </c>
      <c r="E24" s="45" t="n">
        <v>1032</v>
      </c>
      <c r="F24" s="32" t="inlineStr">
        <is>
          <t>paid</t>
        </is>
      </c>
      <c r="G24" s="32" t="inlineStr">
        <is>
          <t>fulfilled</t>
        </is>
      </c>
      <c r="H24" s="44" t="inlineStr">
        <is>
          <t>01 Cards, UPI, NB, Wallets by Razorpay</t>
        </is>
      </c>
      <c r="I24" s="32" t="inlineStr">
        <is>
          <t>prepaid</t>
        </is>
      </c>
      <c r="J24" s="32" t="inlineStr">
        <is>
          <t>Prepaid</t>
        </is>
      </c>
      <c r="K24" s="32" t="inlineStr">
        <is>
          <t>Delivered</t>
        </is>
      </c>
      <c r="L24" s="44" t="inlineStr">
        <is>
          <t>DELIVERED</t>
        </is>
      </c>
      <c r="M24" s="44" t="inlineStr">
        <is>
          <t>Coimbatore</t>
        </is>
      </c>
      <c r="N24" s="44" t="inlineStr">
        <is>
          <t>Tamil Nadu</t>
        </is>
      </c>
      <c r="O24" s="32" t="inlineStr">
        <is>
          <t>'641008</t>
        </is>
      </c>
      <c r="P24" s="44" t="inlineStr">
        <is>
          <t>Moss Majesty - L</t>
        </is>
      </c>
      <c r="Q24" s="45" t="n">
        <v>0</v>
      </c>
      <c r="R24" s="44" t="inlineStr"/>
    </row>
    <row r="25">
      <c r="A25" s="35" t="n">
        <v>1100</v>
      </c>
      <c r="B25" s="35" t="inlineStr">
        <is>
          <t>#1100</t>
        </is>
      </c>
      <c r="C25" s="28" t="inlineStr">
        <is>
          <t>Shailu Reddy</t>
        </is>
      </c>
      <c r="D25" s="35" t="inlineStr">
        <is>
          <t>2026-06-27</t>
        </is>
      </c>
      <c r="E25" s="46" t="n">
        <v>1290</v>
      </c>
      <c r="F25" s="35" t="inlineStr">
        <is>
          <t>paid</t>
        </is>
      </c>
      <c r="G25" s="35" t="inlineStr">
        <is>
          <t>fulfilled</t>
        </is>
      </c>
      <c r="H25" s="28" t="inlineStr">
        <is>
          <t>Cash on Delivery (COD)</t>
        </is>
      </c>
      <c r="I25" s="35" t="inlineStr">
        <is>
          <t>cod</t>
        </is>
      </c>
      <c r="J25" s="35" t="inlineStr">
        <is>
          <t>COD</t>
        </is>
      </c>
      <c r="K25" s="35" t="inlineStr">
        <is>
          <t>Delivered</t>
        </is>
      </c>
      <c r="L25" s="28" t="inlineStr">
        <is>
          <t>DELIVERED</t>
        </is>
      </c>
      <c r="M25" s="28" t="inlineStr">
        <is>
          <t>Warangal</t>
        </is>
      </c>
      <c r="N25" s="28" t="inlineStr">
        <is>
          <t>Telangana</t>
        </is>
      </c>
      <c r="O25" s="35" t="inlineStr">
        <is>
          <t>'506002</t>
        </is>
      </c>
      <c r="P25" s="28" t="inlineStr">
        <is>
          <t>Purple Panache - 2XL</t>
        </is>
      </c>
      <c r="Q25" s="46" t="n">
        <v>0</v>
      </c>
      <c r="R25" s="28" t="inlineStr"/>
    </row>
    <row r="26">
      <c r="A26" s="32" t="n">
        <v>1101</v>
      </c>
      <c r="B26" s="32" t="inlineStr">
        <is>
          <t>#1101</t>
        </is>
      </c>
      <c r="C26" s="44" t="inlineStr">
        <is>
          <t>Apsara reddy</t>
        </is>
      </c>
      <c r="D26" s="32" t="inlineStr">
        <is>
          <t>2026-06-27</t>
        </is>
      </c>
      <c r="E26" s="45" t="n">
        <v>3176</v>
      </c>
      <c r="F26" s="32" t="inlineStr">
        <is>
          <t>paid</t>
        </is>
      </c>
      <c r="G26" s="32" t="inlineStr">
        <is>
          <t>fulfilled</t>
        </is>
      </c>
      <c r="H26" s="44" t="inlineStr">
        <is>
          <t>01 Cards, UPI, NB, Wallets by Razorpay</t>
        </is>
      </c>
      <c r="I26" s="32" t="inlineStr">
        <is>
          <t>prepaid</t>
        </is>
      </c>
      <c r="J26" s="32" t="inlineStr">
        <is>
          <t>Prepaid</t>
        </is>
      </c>
      <c r="K26" s="32" t="inlineStr">
        <is>
          <t>Delivered</t>
        </is>
      </c>
      <c r="L26" s="44" t="inlineStr">
        <is>
          <t>DELIVERED</t>
        </is>
      </c>
      <c r="M26" s="44" t="inlineStr">
        <is>
          <t>Kurnool</t>
        </is>
      </c>
      <c r="N26" s="44" t="inlineStr">
        <is>
          <t>Andhra Pradesh</t>
        </is>
      </c>
      <c r="O26" s="32" t="inlineStr">
        <is>
          <t>'518003</t>
        </is>
      </c>
      <c r="P26" s="44" t="inlineStr">
        <is>
          <t>Sunset Petal - L, Teal Tempo - L, Purple Panache - L</t>
        </is>
      </c>
      <c r="Q26" s="45" t="n">
        <v>0</v>
      </c>
      <c r="R26" s="44" t="inlineStr"/>
    </row>
    <row r="27">
      <c r="A27" s="35" t="n">
        <v>1102</v>
      </c>
      <c r="B27" s="35" t="inlineStr">
        <is>
          <t>#1102</t>
        </is>
      </c>
      <c r="C27" s="28" t="inlineStr">
        <is>
          <t>smitha AG</t>
        </is>
      </c>
      <c r="D27" s="35" t="inlineStr">
        <is>
          <t>2026-06-27</t>
        </is>
      </c>
      <c r="E27" s="46" t="n">
        <v>1032</v>
      </c>
      <c r="F27" s="35" t="inlineStr">
        <is>
          <t>pending</t>
        </is>
      </c>
      <c r="G27" s="35" t="inlineStr">
        <is>
          <t>fulfilled</t>
        </is>
      </c>
      <c r="H27" s="28" t="inlineStr">
        <is>
          <t>Cash on Delivery (COD)</t>
        </is>
      </c>
      <c r="I27" s="35" t="inlineStr">
        <is>
          <t>cod</t>
        </is>
      </c>
      <c r="J27" s="35" t="inlineStr">
        <is>
          <t>COD</t>
        </is>
      </c>
      <c r="K27" s="35" t="inlineStr">
        <is>
          <t>RTO / Returned</t>
        </is>
      </c>
      <c r="L27" s="28" t="inlineStr">
        <is>
          <t>RTO DELIVERED</t>
        </is>
      </c>
      <c r="M27" s="28" t="inlineStr">
        <is>
          <t>Muvattupuzha</t>
        </is>
      </c>
      <c r="N27" s="28" t="inlineStr">
        <is>
          <t>Kerala</t>
        </is>
      </c>
      <c r="O27" s="35" t="inlineStr">
        <is>
          <t>'686661</t>
        </is>
      </c>
      <c r="P27" s="28" t="inlineStr">
        <is>
          <t>Mystic Mist Red - L</t>
        </is>
      </c>
      <c r="Q27" s="46" t="n">
        <v>0</v>
      </c>
      <c r="R27" s="28" t="inlineStr">
        <is>
          <t>Customer not available x Office or Residence closed</t>
        </is>
      </c>
    </row>
    <row r="28">
      <c r="A28" s="32" t="n">
        <v>1103</v>
      </c>
      <c r="B28" s="32" t="inlineStr">
        <is>
          <t>#1103</t>
        </is>
      </c>
      <c r="C28" s="44" t="inlineStr">
        <is>
          <t>Praveena Manoharan</t>
        </is>
      </c>
      <c r="D28" s="32" t="inlineStr">
        <is>
          <t>2026-06-28</t>
        </is>
      </c>
      <c r="E28" s="45" t="n">
        <v>1290</v>
      </c>
      <c r="F28" s="32" t="inlineStr">
        <is>
          <t>paid</t>
        </is>
      </c>
      <c r="G28" s="32" t="inlineStr">
        <is>
          <t>fulfilled</t>
        </is>
      </c>
      <c r="H28" s="44" t="inlineStr">
        <is>
          <t>Cash on Delivery (COD)</t>
        </is>
      </c>
      <c r="I28" s="32" t="inlineStr">
        <is>
          <t>cod</t>
        </is>
      </c>
      <c r="J28" s="32" t="inlineStr">
        <is>
          <t>COD</t>
        </is>
      </c>
      <c r="K28" s="32" t="inlineStr">
        <is>
          <t>Delivered</t>
        </is>
      </c>
      <c r="L28" s="44" t="inlineStr">
        <is>
          <t>DELIVERED</t>
        </is>
      </c>
      <c r="M28" s="44" t="inlineStr">
        <is>
          <t>Chennai</t>
        </is>
      </c>
      <c r="N28" s="44" t="inlineStr">
        <is>
          <t>Tamil Nadu</t>
        </is>
      </c>
      <c r="O28" s="32" t="inlineStr">
        <is>
          <t>'600100</t>
        </is>
      </c>
      <c r="P28" s="44" t="inlineStr">
        <is>
          <t>Purple Panache - XL</t>
        </is>
      </c>
      <c r="Q28" s="45" t="n">
        <v>0</v>
      </c>
      <c r="R28" s="44" t="inlineStr"/>
    </row>
    <row r="29">
      <c r="A29" s="35" t="n">
        <v>1104</v>
      </c>
      <c r="B29" s="35" t="inlineStr">
        <is>
          <t>#1104</t>
        </is>
      </c>
      <c r="C29" s="28" t="inlineStr">
        <is>
          <t>Gopal Kowsi</t>
        </is>
      </c>
      <c r="D29" s="35" t="inlineStr">
        <is>
          <t>2026-06-29</t>
        </is>
      </c>
      <c r="E29" s="46" t="n">
        <v>1112</v>
      </c>
      <c r="F29" s="35" t="inlineStr">
        <is>
          <t>paid</t>
        </is>
      </c>
      <c r="G29" s="35" t="inlineStr">
        <is>
          <t>fulfilled</t>
        </is>
      </c>
      <c r="H29" s="28" t="inlineStr">
        <is>
          <t>Cash on Delivery (COD)</t>
        </is>
      </c>
      <c r="I29" s="35" t="inlineStr">
        <is>
          <t>cod</t>
        </is>
      </c>
      <c r="J29" s="35" t="inlineStr">
        <is>
          <t>COD</t>
        </is>
      </c>
      <c r="K29" s="35" t="inlineStr">
        <is>
          <t>Delivered</t>
        </is>
      </c>
      <c r="L29" s="28" t="inlineStr">
        <is>
          <t>DELIVERED</t>
        </is>
      </c>
      <c r="M29" s="28" t="inlineStr">
        <is>
          <t>Vanavasi</t>
        </is>
      </c>
      <c r="N29" s="28" t="inlineStr">
        <is>
          <t>Tamil Nadu</t>
        </is>
      </c>
      <c r="O29" s="35" t="inlineStr">
        <is>
          <t>'636457</t>
        </is>
      </c>
      <c r="P29" s="28" t="inlineStr">
        <is>
          <t>Sunset Petal - XL</t>
        </is>
      </c>
      <c r="Q29" s="46" t="n">
        <v>0</v>
      </c>
      <c r="R29" s="28" t="inlineStr"/>
    </row>
    <row r="30">
      <c r="A30" s="32" t="n">
        <v>1105</v>
      </c>
      <c r="B30" s="32" t="inlineStr">
        <is>
          <t>#1105</t>
        </is>
      </c>
      <c r="C30" s="44" t="inlineStr">
        <is>
          <t>Akila Senthil</t>
        </is>
      </c>
      <c r="D30" s="32" t="inlineStr">
        <is>
          <t>2026-06-29</t>
        </is>
      </c>
      <c r="E30" s="45" t="n">
        <v>2144</v>
      </c>
      <c r="F30" s="32" t="inlineStr">
        <is>
          <t>pending</t>
        </is>
      </c>
      <c r="G30" s="32" t="inlineStr">
        <is>
          <t>fulfilled</t>
        </is>
      </c>
      <c r="H30" s="44" t="inlineStr">
        <is>
          <t>Cash on Delivery (COD)</t>
        </is>
      </c>
      <c r="I30" s="32" t="inlineStr">
        <is>
          <t>cod</t>
        </is>
      </c>
      <c r="J30" s="32" t="inlineStr">
        <is>
          <t>COD</t>
        </is>
      </c>
      <c r="K30" s="32" t="inlineStr">
        <is>
          <t>RTO / Returned</t>
        </is>
      </c>
      <c r="L30" s="44" t="inlineStr">
        <is>
          <t>RTO DELIVERED</t>
        </is>
      </c>
      <c r="M30" s="44" t="inlineStr">
        <is>
          <t>Salem</t>
        </is>
      </c>
      <c r="N30" s="44" t="inlineStr">
        <is>
          <t>Tamil Nadu</t>
        </is>
      </c>
      <c r="O30" s="32" t="inlineStr">
        <is>
          <t>'636005</t>
        </is>
      </c>
      <c r="P30" s="44" t="inlineStr">
        <is>
          <t>Dainty Dots Teal - 2XL, Sunset Petal - XXL</t>
        </is>
      </c>
      <c r="Q30" s="45" t="n">
        <v>0</v>
      </c>
      <c r="R30" s="44" t="inlineStr">
        <is>
          <t>Customer Refused To Accept - OTP Verified</t>
        </is>
      </c>
    </row>
    <row r="31">
      <c r="A31" s="35" t="n">
        <v>1107</v>
      </c>
      <c r="B31" s="35" t="inlineStr">
        <is>
          <t>#1107</t>
        </is>
      </c>
      <c r="C31" s="28" t="inlineStr">
        <is>
          <t>Meghana R</t>
        </is>
      </c>
      <c r="D31" s="35" t="inlineStr">
        <is>
          <t>2026-06-29</t>
        </is>
      </c>
      <c r="E31" s="46" t="n">
        <v>2680</v>
      </c>
      <c r="F31" s="35" t="inlineStr">
        <is>
          <t>pending</t>
        </is>
      </c>
      <c r="G31" s="35" t="inlineStr">
        <is>
          <t>fulfilled</t>
        </is>
      </c>
      <c r="H31" s="28" t="inlineStr">
        <is>
          <t>Cash on Delivery (COD)</t>
        </is>
      </c>
      <c r="I31" s="35" t="inlineStr">
        <is>
          <t>cod</t>
        </is>
      </c>
      <c r="J31" s="35" t="inlineStr">
        <is>
          <t>COD</t>
        </is>
      </c>
      <c r="K31" s="35" t="inlineStr">
        <is>
          <t>RTO / Returned</t>
        </is>
      </c>
      <c r="L31" s="28" t="inlineStr">
        <is>
          <t>RTO DELIVERED</t>
        </is>
      </c>
      <c r="M31" s="28" t="inlineStr">
        <is>
          <t>KOLAR</t>
        </is>
      </c>
      <c r="N31" s="28" t="inlineStr">
        <is>
          <t>Karnataka</t>
        </is>
      </c>
      <c r="O31" s="35" t="inlineStr">
        <is>
          <t>'563102</t>
        </is>
      </c>
      <c r="P31" s="28" t="inlineStr">
        <is>
          <t>Aranya Grace Anarkali Dress - XL</t>
        </is>
      </c>
      <c r="Q31" s="46" t="n">
        <v>0</v>
      </c>
      <c r="R31" s="28" t="inlineStr">
        <is>
          <t>Customer Cancelled OTP Verified</t>
        </is>
      </c>
    </row>
    <row r="32">
      <c r="A32" s="32" t="n">
        <v>1108</v>
      </c>
      <c r="B32" s="32" t="inlineStr">
        <is>
          <t>#1108</t>
        </is>
      </c>
      <c r="C32" s="44" t="inlineStr">
        <is>
          <t>Bharathi Dinesh</t>
        </is>
      </c>
      <c r="D32" s="32" t="inlineStr">
        <is>
          <t>2026-06-29</t>
        </is>
      </c>
      <c r="E32" s="45" t="n">
        <v>1032</v>
      </c>
      <c r="F32" s="32" t="inlineStr">
        <is>
          <t>pending</t>
        </is>
      </c>
      <c r="G32" s="32" t="inlineStr">
        <is>
          <t>fulfilled</t>
        </is>
      </c>
      <c r="H32" s="44" t="inlineStr">
        <is>
          <t>Cash on Delivery (COD)</t>
        </is>
      </c>
      <c r="I32" s="32" t="inlineStr">
        <is>
          <t>cod</t>
        </is>
      </c>
      <c r="J32" s="32" t="inlineStr">
        <is>
          <t>COD</t>
        </is>
      </c>
      <c r="K32" s="32" t="inlineStr">
        <is>
          <t>RTO / Returned</t>
        </is>
      </c>
      <c r="L32" s="44" t="inlineStr">
        <is>
          <t>RTO DELIVERED</t>
        </is>
      </c>
      <c r="M32" s="44" t="inlineStr">
        <is>
          <t>Chennai</t>
        </is>
      </c>
      <c r="N32" s="44" t="inlineStr">
        <is>
          <t>Tamil Nadu</t>
        </is>
      </c>
      <c r="O32" s="32" t="inlineStr">
        <is>
          <t>'600077</t>
        </is>
      </c>
      <c r="P32" s="44" t="inlineStr">
        <is>
          <t>Bold Basil - 3XL</t>
        </is>
      </c>
      <c r="Q32" s="45" t="n">
        <v>0</v>
      </c>
      <c r="R32" s="44" t="inlineStr"/>
    </row>
    <row r="33">
      <c r="A33" s="35" t="n">
        <v>1109</v>
      </c>
      <c r="B33" s="35" t="inlineStr">
        <is>
          <t>#1109</t>
        </is>
      </c>
      <c r="C33" s="28" t="inlineStr">
        <is>
          <t>Anusha Anusha</t>
        </is>
      </c>
      <c r="D33" s="35" t="inlineStr">
        <is>
          <t>2026-06-29</t>
        </is>
      </c>
      <c r="E33" s="46" t="n">
        <v>1032</v>
      </c>
      <c r="F33" s="35" t="inlineStr">
        <is>
          <t>paid</t>
        </is>
      </c>
      <c r="G33" s="35" t="inlineStr">
        <is>
          <t>fulfilled</t>
        </is>
      </c>
      <c r="H33" s="28" t="inlineStr">
        <is>
          <t>Cash on Delivery (COD)</t>
        </is>
      </c>
      <c r="I33" s="35" t="inlineStr">
        <is>
          <t>cod</t>
        </is>
      </c>
      <c r="J33" s="35" t="inlineStr">
        <is>
          <t>COD</t>
        </is>
      </c>
      <c r="K33" s="35" t="inlineStr">
        <is>
          <t>Delivered</t>
        </is>
      </c>
      <c r="L33" s="28" t="inlineStr">
        <is>
          <t>DELIVERED</t>
        </is>
      </c>
      <c r="M33" s="28" t="inlineStr">
        <is>
          <t>Hyderbad</t>
        </is>
      </c>
      <c r="N33" s="28" t="inlineStr">
        <is>
          <t>Telangana</t>
        </is>
      </c>
      <c r="O33" s="35" t="inlineStr">
        <is>
          <t>'500086</t>
        </is>
      </c>
      <c r="P33" s="28" t="inlineStr">
        <is>
          <t>Purple Panache - 3XL</t>
        </is>
      </c>
      <c r="Q33" s="46" t="n">
        <v>0</v>
      </c>
      <c r="R33" s="28" t="inlineStr"/>
    </row>
    <row r="34">
      <c r="A34" s="32" t="n">
        <v>1110</v>
      </c>
      <c r="B34" s="32" t="inlineStr">
        <is>
          <t>#1110</t>
        </is>
      </c>
      <c r="C34" s="44" t="inlineStr">
        <is>
          <t>Sharanyaa K</t>
        </is>
      </c>
      <c r="D34" s="32" t="inlineStr">
        <is>
          <t>2026-06-29</t>
        </is>
      </c>
      <c r="E34" s="45" t="n">
        <v>2144</v>
      </c>
      <c r="F34" s="32" t="inlineStr">
        <is>
          <t>paid</t>
        </is>
      </c>
      <c r="G34" s="32" t="inlineStr">
        <is>
          <t>fulfilled</t>
        </is>
      </c>
      <c r="H34" s="44" t="inlineStr">
        <is>
          <t>01 Cards, UPI, NB, Wallets by Razorpay</t>
        </is>
      </c>
      <c r="I34" s="32" t="inlineStr">
        <is>
          <t>prepaid</t>
        </is>
      </c>
      <c r="J34" s="32" t="inlineStr">
        <is>
          <t>Prepaid</t>
        </is>
      </c>
      <c r="K34" s="32" t="inlineStr">
        <is>
          <t>Delivered</t>
        </is>
      </c>
      <c r="L34" s="44" t="inlineStr">
        <is>
          <t>DELIVERED</t>
        </is>
      </c>
      <c r="M34" s="44" t="inlineStr">
        <is>
          <t>Pondicherry</t>
        </is>
      </c>
      <c r="N34" s="44" t="inlineStr">
        <is>
          <t>Puducherry</t>
        </is>
      </c>
      <c r="O34" s="32" t="inlineStr">
        <is>
          <t>'605011</t>
        </is>
      </c>
      <c r="P34" s="44" t="inlineStr">
        <is>
          <t>Moss Majesty - M, Sunset Petal - M</t>
        </is>
      </c>
      <c r="Q34" s="45" t="n">
        <v>0</v>
      </c>
      <c r="R34" s="44" t="inlineStr">
        <is>
          <t>CustomerUnavailable_DeliveryAttempted</t>
        </is>
      </c>
    </row>
    <row r="35">
      <c r="A35" s="35" t="n">
        <v>1111</v>
      </c>
      <c r="B35" s="35" t="inlineStr">
        <is>
          <t>#1111</t>
        </is>
      </c>
      <c r="C35" s="28" t="inlineStr">
        <is>
          <t>Jeeva Ramprabu</t>
        </is>
      </c>
      <c r="D35" s="35" t="inlineStr">
        <is>
          <t>2026-06-30</t>
        </is>
      </c>
      <c r="E35" s="46" t="n">
        <v>2784</v>
      </c>
      <c r="F35" s="35" t="inlineStr">
        <is>
          <t>paid</t>
        </is>
      </c>
      <c r="G35" s="35" t="inlineStr">
        <is>
          <t>fulfilled</t>
        </is>
      </c>
      <c r="H35" s="28" t="inlineStr">
        <is>
          <t>Cash on Delivery (COD)</t>
        </is>
      </c>
      <c r="I35" s="35" t="inlineStr">
        <is>
          <t>cod</t>
        </is>
      </c>
      <c r="J35" s="35" t="inlineStr">
        <is>
          <t>COD</t>
        </is>
      </c>
      <c r="K35" s="35" t="inlineStr">
        <is>
          <t>Delivered</t>
        </is>
      </c>
      <c r="L35" s="28" t="inlineStr">
        <is>
          <t>DELIVERED</t>
        </is>
      </c>
      <c r="M35" s="28" t="inlineStr">
        <is>
          <t>Paramakudi , Ramanathapuram</t>
        </is>
      </c>
      <c r="N35" s="28" t="inlineStr">
        <is>
          <t>Tamil Nadu</t>
        </is>
      </c>
      <c r="O35" s="35" t="inlineStr">
        <is>
          <t>'626707</t>
        </is>
      </c>
      <c r="P35" s="28" t="inlineStr">
        <is>
          <t>Purple Panache - L, Karunguyil Chudidhar Set - L</t>
        </is>
      </c>
      <c r="Q35" s="46" t="n">
        <v>0</v>
      </c>
      <c r="R35" s="28" t="inlineStr"/>
    </row>
    <row r="36">
      <c r="A36" s="32" t="n">
        <v>1112</v>
      </c>
      <c r="B36" s="32" t="inlineStr">
        <is>
          <t>#1112</t>
        </is>
      </c>
      <c r="C36" s="44" t="inlineStr">
        <is>
          <t>PERIKALA VIVEKANANDA</t>
        </is>
      </c>
      <c r="D36" s="32" t="inlineStr">
        <is>
          <t>2026-06-30</t>
        </is>
      </c>
      <c r="E36" s="45" t="n">
        <v>1112</v>
      </c>
      <c r="F36" s="32" t="inlineStr">
        <is>
          <t>paid</t>
        </is>
      </c>
      <c r="G36" s="32" t="inlineStr">
        <is>
          <t>fulfilled</t>
        </is>
      </c>
      <c r="H36" s="44" t="inlineStr">
        <is>
          <t>01 Cards, UPI, NB, Wallets by Razorpay</t>
        </is>
      </c>
      <c r="I36" s="32" t="inlineStr">
        <is>
          <t>prepaid</t>
        </is>
      </c>
      <c r="J36" s="32" t="inlineStr">
        <is>
          <t>Prepaid</t>
        </is>
      </c>
      <c r="K36" s="32" t="inlineStr">
        <is>
          <t>Delivered</t>
        </is>
      </c>
      <c r="L36" s="44" t="inlineStr">
        <is>
          <t>DELIVERED</t>
        </is>
      </c>
      <c r="M36" s="44" t="inlineStr">
        <is>
          <t>Tenali</t>
        </is>
      </c>
      <c r="N36" s="44" t="inlineStr">
        <is>
          <t>Andhra Pradesh</t>
        </is>
      </c>
      <c r="O36" s="32" t="inlineStr">
        <is>
          <t>'522201</t>
        </is>
      </c>
      <c r="P36" s="44" t="inlineStr">
        <is>
          <t>Daisy Dusk Yellow - S</t>
        </is>
      </c>
      <c r="Q36" s="45" t="n">
        <v>0</v>
      </c>
      <c r="R36" s="44" t="inlineStr"/>
    </row>
    <row r="37">
      <c r="A37" s="35" t="n">
        <v>1113</v>
      </c>
      <c r="B37" s="35" t="inlineStr">
        <is>
          <t>#1113</t>
        </is>
      </c>
      <c r="C37" s="28" t="inlineStr">
        <is>
          <t>Maha Jayaraman</t>
        </is>
      </c>
      <c r="D37" s="35" t="inlineStr">
        <is>
          <t>2026-06-30</t>
        </is>
      </c>
      <c r="E37" s="46" t="n">
        <v>1032</v>
      </c>
      <c r="F37" s="35" t="inlineStr">
        <is>
          <t>refunded</t>
        </is>
      </c>
      <c r="G37" s="35" t="inlineStr">
        <is>
          <t>fulfilled</t>
        </is>
      </c>
      <c r="H37" s="28" t="inlineStr">
        <is>
          <t>01 Cards, UPI, NB, Wallets by Razorpay</t>
        </is>
      </c>
      <c r="I37" s="35" t="inlineStr">
        <is>
          <t>prepaid</t>
        </is>
      </c>
      <c r="J37" s="35" t="inlineStr">
        <is>
          <t>Prepaid</t>
        </is>
      </c>
      <c r="K37" s="35" t="inlineStr">
        <is>
          <t>RTO / Returned</t>
        </is>
      </c>
      <c r="L37" s="28" t="inlineStr">
        <is>
          <t>DELIVERED</t>
        </is>
      </c>
      <c r="M37" s="28" t="inlineStr">
        <is>
          <t>Pondicherry</t>
        </is>
      </c>
      <c r="N37" s="28" t="inlineStr">
        <is>
          <t>Puducherry</t>
        </is>
      </c>
      <c r="O37" s="35" t="inlineStr">
        <is>
          <t>'605008</t>
        </is>
      </c>
      <c r="P37" s="28" t="inlineStr">
        <is>
          <t>Dainty Dots Teal - XL</t>
        </is>
      </c>
      <c r="Q37" s="46" t="n">
        <v>1032</v>
      </c>
      <c r="R37" s="28" t="inlineStr">
        <is>
          <t>UnableToContactRecipient_DeliveryAttempted</t>
        </is>
      </c>
    </row>
    <row r="38">
      <c r="A38" s="32" t="n">
        <v>1114</v>
      </c>
      <c r="B38" s="32" t="inlineStr">
        <is>
          <t>#1114</t>
        </is>
      </c>
      <c r="C38" s="44" t="inlineStr">
        <is>
          <t>Kruthika Vignesh</t>
        </is>
      </c>
      <c r="D38" s="32" t="inlineStr">
        <is>
          <t>2026-06-30</t>
        </is>
      </c>
      <c r="E38" s="45" t="n">
        <v>1112</v>
      </c>
      <c r="F38" s="32" t="inlineStr">
        <is>
          <t>paid</t>
        </is>
      </c>
      <c r="G38" s="32" t="inlineStr">
        <is>
          <t>fulfilled</t>
        </is>
      </c>
      <c r="H38" s="44" t="inlineStr">
        <is>
          <t>01 Cards, UPI, NB, Wallets by Razorpay</t>
        </is>
      </c>
      <c r="I38" s="32" t="inlineStr">
        <is>
          <t>prepaid</t>
        </is>
      </c>
      <c r="J38" s="32" t="inlineStr">
        <is>
          <t>Prepaid</t>
        </is>
      </c>
      <c r="K38" s="32" t="inlineStr">
        <is>
          <t>Delivered</t>
        </is>
      </c>
      <c r="L38" s="44" t="inlineStr">
        <is>
          <t>DELIVERED</t>
        </is>
      </c>
      <c r="M38" s="44" t="inlineStr">
        <is>
          <t>Chennai</t>
        </is>
      </c>
      <c r="N38" s="44" t="inlineStr">
        <is>
          <t>Tamil Nadu</t>
        </is>
      </c>
      <c r="O38" s="32" t="inlineStr">
        <is>
          <t>'600078</t>
        </is>
      </c>
      <c r="P38" s="44" t="inlineStr">
        <is>
          <t>Wine Blossom Top - XL</t>
        </is>
      </c>
      <c r="Q38" s="45" t="n">
        <v>0</v>
      </c>
      <c r="R38" s="44" t="inlineStr"/>
    </row>
    <row r="39">
      <c r="A39" s="35" t="n">
        <v>1115</v>
      </c>
      <c r="B39" s="35" t="inlineStr">
        <is>
          <t>#1115</t>
        </is>
      </c>
      <c r="C39" s="28" t="inlineStr">
        <is>
          <t>Vidya Jothi</t>
        </is>
      </c>
      <c r="D39" s="35" t="inlineStr">
        <is>
          <t>2026-07-01</t>
        </is>
      </c>
      <c r="E39" s="46" t="n">
        <v>1390</v>
      </c>
      <c r="F39" s="35" t="inlineStr">
        <is>
          <t>paid</t>
        </is>
      </c>
      <c r="G39" s="35" t="inlineStr">
        <is>
          <t>fulfilled</t>
        </is>
      </c>
      <c r="H39" s="28" t="inlineStr">
        <is>
          <t>Cash on Delivery (COD)</t>
        </is>
      </c>
      <c r="I39" s="35" t="inlineStr">
        <is>
          <t>cod</t>
        </is>
      </c>
      <c r="J39" s="35" t="inlineStr">
        <is>
          <t>COD</t>
        </is>
      </c>
      <c r="K39" s="35" t="inlineStr">
        <is>
          <t>Delivered</t>
        </is>
      </c>
      <c r="L39" s="28" t="inlineStr">
        <is>
          <t>DELIVERED</t>
        </is>
      </c>
      <c r="M39" s="28" t="inlineStr">
        <is>
          <t>Coimbatore</t>
        </is>
      </c>
      <c r="N39" s="28" t="inlineStr">
        <is>
          <t>Tamil Nadu</t>
        </is>
      </c>
      <c r="O39" s="35" t="inlineStr">
        <is>
          <t>'641062</t>
        </is>
      </c>
      <c r="P39" s="28" t="inlineStr">
        <is>
          <t>Daisy Dusk Yellow - XL</t>
        </is>
      </c>
      <c r="Q39" s="46" t="n">
        <v>0</v>
      </c>
      <c r="R39" s="28" t="inlineStr">
        <is>
          <t>DeliveryAttempted_UnableToContactRecipient</t>
        </is>
      </c>
    </row>
    <row r="40">
      <c r="A40" s="32" t="n">
        <v>1117</v>
      </c>
      <c r="B40" s="32" t="inlineStr">
        <is>
          <t>#1117</t>
        </is>
      </c>
      <c r="C40" s="44" t="inlineStr">
        <is>
          <t>Dr Jovin Jose</t>
        </is>
      </c>
      <c r="D40" s="32" t="inlineStr">
        <is>
          <t>2026-07-01</t>
        </is>
      </c>
      <c r="E40" s="45" t="n">
        <v>1112</v>
      </c>
      <c r="F40" s="32" t="inlineStr">
        <is>
          <t>paid</t>
        </is>
      </c>
      <c r="G40" s="32" t="inlineStr">
        <is>
          <t>fulfilled</t>
        </is>
      </c>
      <c r="H40" s="44" t="inlineStr">
        <is>
          <t>01 Cards, UPI, NB, Wallets by Razorpay</t>
        </is>
      </c>
      <c r="I40" s="32" t="inlineStr">
        <is>
          <t>prepaid</t>
        </is>
      </c>
      <c r="J40" s="32" t="inlineStr">
        <is>
          <t>Prepaid</t>
        </is>
      </c>
      <c r="K40" s="32" t="inlineStr">
        <is>
          <t>Delivered</t>
        </is>
      </c>
      <c r="L40" s="44" t="inlineStr">
        <is>
          <t>DELIVERED</t>
        </is>
      </c>
      <c r="M40" s="44" t="inlineStr">
        <is>
          <t>Kanhangad</t>
        </is>
      </c>
      <c r="N40" s="44" t="inlineStr">
        <is>
          <t>Kerala</t>
        </is>
      </c>
      <c r="O40" s="32" t="inlineStr">
        <is>
          <t>'671326</t>
        </is>
      </c>
      <c r="P40" s="44" t="inlineStr">
        <is>
          <t>Daisy Dusk Yellow - M</t>
        </is>
      </c>
      <c r="Q40" s="45" t="n">
        <v>0</v>
      </c>
      <c r="R40" s="44" t="inlineStr"/>
    </row>
    <row r="41">
      <c r="A41" s="35" t="n">
        <v>1118</v>
      </c>
      <c r="B41" s="35" t="inlineStr">
        <is>
          <t>#1118</t>
        </is>
      </c>
      <c r="C41" s="28" t="inlineStr">
        <is>
          <t>Aswathy P</t>
        </is>
      </c>
      <c r="D41" s="35" t="inlineStr">
        <is>
          <t>2026-07-01</t>
        </is>
      </c>
      <c r="E41" s="46" t="n">
        <v>1032</v>
      </c>
      <c r="F41" s="35" t="inlineStr">
        <is>
          <t>paid</t>
        </is>
      </c>
      <c r="G41" s="35" t="inlineStr">
        <is>
          <t>fulfilled</t>
        </is>
      </c>
      <c r="H41" s="28" t="inlineStr">
        <is>
          <t>01 Cards, UPI, NB, Wallets by Razorpay</t>
        </is>
      </c>
      <c r="I41" s="35" t="inlineStr">
        <is>
          <t>prepaid</t>
        </is>
      </c>
      <c r="J41" s="35" t="inlineStr">
        <is>
          <t>Prepaid</t>
        </is>
      </c>
      <c r="K41" s="35" t="inlineStr">
        <is>
          <t>Delivered</t>
        </is>
      </c>
      <c r="L41" s="28" t="inlineStr">
        <is>
          <t>DELIVERED</t>
        </is>
      </c>
      <c r="M41" s="28" t="inlineStr">
        <is>
          <t>Ernakulam</t>
        </is>
      </c>
      <c r="N41" s="28" t="inlineStr">
        <is>
          <t>Kerala</t>
        </is>
      </c>
      <c r="O41" s="35" t="inlineStr">
        <is>
          <t>'682030</t>
        </is>
      </c>
      <c r="P41" s="28" t="inlineStr">
        <is>
          <t>Urban Ruby - M</t>
        </is>
      </c>
      <c r="Q41" s="46" t="n">
        <v>0</v>
      </c>
      <c r="R41" s="28" t="inlineStr"/>
    </row>
    <row r="42">
      <c r="A42" s="32" t="n">
        <v>1119</v>
      </c>
      <c r="B42" s="32" t="inlineStr">
        <is>
          <t>#1119</t>
        </is>
      </c>
      <c r="C42" s="44" t="inlineStr">
        <is>
          <t>Vijayasri S Narendran</t>
        </is>
      </c>
      <c r="D42" s="32" t="inlineStr">
        <is>
          <t>2026-07-02</t>
        </is>
      </c>
      <c r="E42" s="45" t="n">
        <v>1890</v>
      </c>
      <c r="F42" s="32" t="inlineStr">
        <is>
          <t>paid</t>
        </is>
      </c>
      <c r="G42" s="32" t="inlineStr">
        <is>
          <t>fulfilled</t>
        </is>
      </c>
      <c r="H42" s="44" t="inlineStr">
        <is>
          <t>Cash on Delivery (COD)</t>
        </is>
      </c>
      <c r="I42" s="32" t="inlineStr">
        <is>
          <t>cod</t>
        </is>
      </c>
      <c r="J42" s="32" t="inlineStr">
        <is>
          <t>COD</t>
        </is>
      </c>
      <c r="K42" s="32" t="inlineStr">
        <is>
          <t>Delivered</t>
        </is>
      </c>
      <c r="L42" s="44" t="inlineStr">
        <is>
          <t>DELIVERED</t>
        </is>
      </c>
      <c r="M42" s="44" t="inlineStr">
        <is>
          <t>Avadi</t>
        </is>
      </c>
      <c r="N42" s="44" t="inlineStr">
        <is>
          <t>Tamil Nadu</t>
        </is>
      </c>
      <c r="O42" s="32" t="inlineStr">
        <is>
          <t>'600062</t>
        </is>
      </c>
      <c r="P42" s="44" t="inlineStr">
        <is>
          <t>Blossom Taupe Chic Set - 2XL</t>
        </is>
      </c>
      <c r="Q42" s="45" t="n">
        <v>0</v>
      </c>
      <c r="R42" s="44" t="inlineStr"/>
    </row>
    <row r="43">
      <c r="A43" s="35" t="n">
        <v>1120</v>
      </c>
      <c r="B43" s="35" t="inlineStr">
        <is>
          <t>#1120</t>
        </is>
      </c>
      <c r="C43" s="28" t="inlineStr">
        <is>
          <t>nisha J</t>
        </is>
      </c>
      <c r="D43" s="35" t="inlineStr">
        <is>
          <t>2026-07-02</t>
        </is>
      </c>
      <c r="E43" s="46" t="n">
        <v>1032</v>
      </c>
      <c r="F43" s="35" t="inlineStr">
        <is>
          <t>refunded</t>
        </is>
      </c>
      <c r="G43" s="35" t="inlineStr">
        <is>
          <t>fulfilled</t>
        </is>
      </c>
      <c r="H43" s="28" t="inlineStr">
        <is>
          <t>01 Cards, UPI, NB, Wallets by Razorpay</t>
        </is>
      </c>
      <c r="I43" s="35" t="inlineStr">
        <is>
          <t>prepaid</t>
        </is>
      </c>
      <c r="J43" s="35" t="inlineStr">
        <is>
          <t>Prepaid</t>
        </is>
      </c>
      <c r="K43" s="35" t="inlineStr">
        <is>
          <t>Canceled</t>
        </is>
      </c>
      <c r="L43" s="28" t="inlineStr">
        <is>
          <t>CANCELED</t>
        </is>
      </c>
      <c r="M43" s="28" t="inlineStr">
        <is>
          <t>Chengalpattu</t>
        </is>
      </c>
      <c r="N43" s="28" t="inlineStr">
        <is>
          <t>Tamil Nadu</t>
        </is>
      </c>
      <c r="O43" s="35" t="inlineStr">
        <is>
          <t>'603002</t>
        </is>
      </c>
      <c r="P43" s="28" t="inlineStr">
        <is>
          <t>Dainty Dots Teal - 2XL</t>
        </is>
      </c>
      <c r="Q43" s="46" t="n">
        <v>1032</v>
      </c>
      <c r="R43" s="28" t="inlineStr"/>
    </row>
    <row r="44">
      <c r="A44" s="32" t="n">
        <v>1121</v>
      </c>
      <c r="B44" s="32" t="inlineStr">
        <is>
          <t>#1121</t>
        </is>
      </c>
      <c r="C44" s="44" t="inlineStr">
        <is>
          <t>Salla Mahesh</t>
        </is>
      </c>
      <c r="D44" s="32" t="inlineStr">
        <is>
          <t>2026-07-02</t>
        </is>
      </c>
      <c r="E44" s="45" t="n">
        <v>2144</v>
      </c>
      <c r="F44" s="32" t="inlineStr">
        <is>
          <t>paid</t>
        </is>
      </c>
      <c r="G44" s="32" t="inlineStr">
        <is>
          <t>fulfilled</t>
        </is>
      </c>
      <c r="H44" s="44" t="inlineStr">
        <is>
          <t>Cash on Delivery (COD)</t>
        </is>
      </c>
      <c r="I44" s="32" t="inlineStr">
        <is>
          <t>cod</t>
        </is>
      </c>
      <c r="J44" s="32" t="inlineStr">
        <is>
          <t>COD</t>
        </is>
      </c>
      <c r="K44" s="32" t="inlineStr">
        <is>
          <t>Delivered</t>
        </is>
      </c>
      <c r="L44" s="44" t="inlineStr">
        <is>
          <t>DELIVERED</t>
        </is>
      </c>
      <c r="M44" s="44" t="inlineStr">
        <is>
          <t>Godavarikhani</t>
        </is>
      </c>
      <c r="N44" s="44" t="inlineStr">
        <is>
          <t>Telangana</t>
        </is>
      </c>
      <c r="O44" s="32" t="inlineStr">
        <is>
          <t>'505210</t>
        </is>
      </c>
      <c r="P44" s="44" t="inlineStr">
        <is>
          <t>Mystic Mist Red - L, Ocean Elegance Top - L</t>
        </is>
      </c>
      <c r="Q44" s="45" t="n">
        <v>0</v>
      </c>
      <c r="R44" s="44" t="inlineStr"/>
    </row>
    <row r="45">
      <c r="A45" s="35" t="n">
        <v>1122</v>
      </c>
      <c r="B45" s="35" t="inlineStr">
        <is>
          <t>#1122</t>
        </is>
      </c>
      <c r="C45" s="28" t="inlineStr">
        <is>
          <t>Suganya Suganyasridhar</t>
        </is>
      </c>
      <c r="D45" s="35" t="inlineStr">
        <is>
          <t>2026-07-02</t>
        </is>
      </c>
      <c r="E45" s="46" t="n">
        <v>2064</v>
      </c>
      <c r="F45" s="35" t="inlineStr">
        <is>
          <t>pending</t>
        </is>
      </c>
      <c r="G45" s="35" t="inlineStr">
        <is>
          <t>fulfilled</t>
        </is>
      </c>
      <c r="H45" s="28" t="inlineStr">
        <is>
          <t>Cash on Delivery (COD)</t>
        </is>
      </c>
      <c r="I45" s="35" t="inlineStr">
        <is>
          <t>cod</t>
        </is>
      </c>
      <c r="J45" s="35" t="inlineStr">
        <is>
          <t>COD</t>
        </is>
      </c>
      <c r="K45" s="35" t="inlineStr">
        <is>
          <t>RTO / Returned</t>
        </is>
      </c>
      <c r="L45" s="28" t="inlineStr">
        <is>
          <t>RTO DELIVERED</t>
        </is>
      </c>
      <c r="M45" s="28" t="inlineStr">
        <is>
          <t>Tiruvannamalai</t>
        </is>
      </c>
      <c r="N45" s="28" t="inlineStr">
        <is>
          <t>Tamil Nadu</t>
        </is>
      </c>
      <c r="O45" s="35" t="inlineStr">
        <is>
          <t>'606902</t>
        </is>
      </c>
      <c r="P45" s="28" t="inlineStr">
        <is>
          <t>Bold Basil - XL, Purple Panache - XL</t>
        </is>
      </c>
      <c r="Q45" s="46" t="n">
        <v>0</v>
      </c>
      <c r="R45" s="28" t="inlineStr">
        <is>
          <t>RejectedByRecipientWithVerification_NotRequired</t>
        </is>
      </c>
    </row>
    <row r="46">
      <c r="A46" s="32" t="n">
        <v>1123</v>
      </c>
      <c r="B46" s="32" t="inlineStr">
        <is>
          <t>#1123</t>
        </is>
      </c>
      <c r="C46" s="44" t="inlineStr">
        <is>
          <t>Ujwala Gajula</t>
        </is>
      </c>
      <c r="D46" s="32" t="inlineStr">
        <is>
          <t>2026-07-02</t>
        </is>
      </c>
      <c r="E46" s="45" t="n">
        <v>2064</v>
      </c>
      <c r="F46" s="32" t="inlineStr">
        <is>
          <t>paid</t>
        </is>
      </c>
      <c r="G46" s="32" t="inlineStr">
        <is>
          <t>fulfilled</t>
        </is>
      </c>
      <c r="H46" s="44" t="inlineStr">
        <is>
          <t>01 Cards, UPI, NB, Wallets by Razorpay</t>
        </is>
      </c>
      <c r="I46" s="32" t="inlineStr">
        <is>
          <t>prepaid</t>
        </is>
      </c>
      <c r="J46" s="32" t="inlineStr">
        <is>
          <t>Prepaid</t>
        </is>
      </c>
      <c r="K46" s="32" t="inlineStr">
        <is>
          <t>Delivered</t>
        </is>
      </c>
      <c r="L46" s="44" t="inlineStr">
        <is>
          <t>DELIVERED</t>
        </is>
      </c>
      <c r="M46" s="44" t="inlineStr">
        <is>
          <t>Nallagandla</t>
        </is>
      </c>
      <c r="N46" s="44" t="inlineStr">
        <is>
          <t>Telangana</t>
        </is>
      </c>
      <c r="O46" s="32" t="inlineStr">
        <is>
          <t>'500019</t>
        </is>
      </c>
      <c r="P46" s="44" t="inlineStr">
        <is>
          <t>Moss Majesty - 2XL, Purple Panache - 2XL</t>
        </is>
      </c>
      <c r="Q46" s="45" t="n">
        <v>0</v>
      </c>
      <c r="R46" s="44" t="inlineStr"/>
    </row>
    <row r="47">
      <c r="A47" s="35" t="n">
        <v>1124</v>
      </c>
      <c r="B47" s="35" t="inlineStr">
        <is>
          <t>#1124</t>
        </is>
      </c>
      <c r="C47" s="28" t="inlineStr">
        <is>
          <t>Anusha Madhukar</t>
        </is>
      </c>
      <c r="D47" s="35" t="inlineStr">
        <is>
          <t>2026-07-02</t>
        </is>
      </c>
      <c r="E47" s="46" t="n">
        <v>1112</v>
      </c>
      <c r="F47" s="35" t="inlineStr">
        <is>
          <t>paid</t>
        </is>
      </c>
      <c r="G47" s="35" t="inlineStr">
        <is>
          <t>fulfilled</t>
        </is>
      </c>
      <c r="H47" s="28" t="inlineStr">
        <is>
          <t>Cash on Delivery (COD)</t>
        </is>
      </c>
      <c r="I47" s="35" t="inlineStr">
        <is>
          <t>cod</t>
        </is>
      </c>
      <c r="J47" s="35" t="inlineStr">
        <is>
          <t>COD</t>
        </is>
      </c>
      <c r="K47" s="35" t="inlineStr">
        <is>
          <t>Delivered</t>
        </is>
      </c>
      <c r="L47" s="28" t="inlineStr">
        <is>
          <t>DELIVERED</t>
        </is>
      </c>
      <c r="M47" s="28" t="inlineStr">
        <is>
          <t>Hyderabad</t>
        </is>
      </c>
      <c r="N47" s="28" t="inlineStr">
        <is>
          <t>Telangana</t>
        </is>
      </c>
      <c r="O47" s="35" t="inlineStr">
        <is>
          <t>'500035</t>
        </is>
      </c>
      <c r="P47" s="28" t="inlineStr">
        <is>
          <t>Sunset Petal - S</t>
        </is>
      </c>
      <c r="Q47" s="46" t="n">
        <v>0</v>
      </c>
      <c r="R47" s="28" t="inlineStr"/>
    </row>
    <row r="48">
      <c r="A48" s="32" t="n">
        <v>1125</v>
      </c>
      <c r="B48" s="32" t="inlineStr">
        <is>
          <t>#1125</t>
        </is>
      </c>
      <c r="C48" s="44" t="inlineStr">
        <is>
          <t>Subha A.R</t>
        </is>
      </c>
      <c r="D48" s="32" t="inlineStr">
        <is>
          <t>2026-07-02</t>
        </is>
      </c>
      <c r="E48" s="45" t="n">
        <v>2680</v>
      </c>
      <c r="F48" s="32" t="inlineStr">
        <is>
          <t>paid</t>
        </is>
      </c>
      <c r="G48" s="32" t="inlineStr">
        <is>
          <t>fulfilled</t>
        </is>
      </c>
      <c r="H48" s="44" t="inlineStr">
        <is>
          <t>Cash on Delivery (COD)</t>
        </is>
      </c>
      <c r="I48" s="32" t="inlineStr">
        <is>
          <t>cod</t>
        </is>
      </c>
      <c r="J48" s="32" t="inlineStr">
        <is>
          <t>COD</t>
        </is>
      </c>
      <c r="K48" s="32" t="inlineStr">
        <is>
          <t>Delivered</t>
        </is>
      </c>
      <c r="L48" s="44" t="inlineStr">
        <is>
          <t>DELIVERED</t>
        </is>
      </c>
      <c r="M48" s="44" t="inlineStr">
        <is>
          <t>Chennai 600107</t>
        </is>
      </c>
      <c r="N48" s="44" t="inlineStr">
        <is>
          <t>Tamil Nadu</t>
        </is>
      </c>
      <c r="O48" s="32" t="inlineStr">
        <is>
          <t>'600107</t>
        </is>
      </c>
      <c r="P48" s="44" t="inlineStr">
        <is>
          <t>Sunset Petal - L, Teal Tempo - S</t>
        </is>
      </c>
      <c r="Q48" s="45" t="n">
        <v>0</v>
      </c>
      <c r="R48" s="44" t="inlineStr">
        <is>
          <t>Consignee unavailable</t>
        </is>
      </c>
    </row>
    <row r="49">
      <c r="A49" s="35" t="n">
        <v>1126</v>
      </c>
      <c r="B49" s="35" t="inlineStr">
        <is>
          <t>#1126</t>
        </is>
      </c>
      <c r="C49" s="28" t="inlineStr">
        <is>
          <t>SULOCHANA N</t>
        </is>
      </c>
      <c r="D49" s="35" t="inlineStr">
        <is>
          <t>2026-07-02</t>
        </is>
      </c>
      <c r="E49" s="46" t="n">
        <v>1890</v>
      </c>
      <c r="F49" s="35" t="inlineStr">
        <is>
          <t>paid</t>
        </is>
      </c>
      <c r="G49" s="35" t="inlineStr">
        <is>
          <t>fulfilled</t>
        </is>
      </c>
      <c r="H49" s="28" t="inlineStr">
        <is>
          <t>01 Cards, UPI, NB, Wallets by Razorpay</t>
        </is>
      </c>
      <c r="I49" s="35" t="inlineStr">
        <is>
          <t>prepaid</t>
        </is>
      </c>
      <c r="J49" s="35" t="inlineStr">
        <is>
          <t>Prepaid</t>
        </is>
      </c>
      <c r="K49" s="35" t="inlineStr">
        <is>
          <t>Delivered</t>
        </is>
      </c>
      <c r="L49" s="28" t="inlineStr">
        <is>
          <t>DELIVERED</t>
        </is>
      </c>
      <c r="M49" s="28" t="inlineStr">
        <is>
          <t>Anantapur</t>
        </is>
      </c>
      <c r="N49" s="28" t="inlineStr">
        <is>
          <t>Andhra Pradesh</t>
        </is>
      </c>
      <c r="O49" s="35" t="inlineStr">
        <is>
          <t>'515002</t>
        </is>
      </c>
      <c r="P49" s="28" t="inlineStr">
        <is>
          <t>Rosy Mist - M</t>
        </is>
      </c>
      <c r="Q49" s="46" t="n">
        <v>0</v>
      </c>
      <c r="R49" s="28" t="inlineStr"/>
    </row>
    <row r="50">
      <c r="A50" s="32" t="n">
        <v>1127</v>
      </c>
      <c r="B50" s="32" t="inlineStr">
        <is>
          <t>#1127</t>
        </is>
      </c>
      <c r="C50" s="44" t="inlineStr">
        <is>
          <t>Rajani Reddy</t>
        </is>
      </c>
      <c r="D50" s="32" t="inlineStr">
        <is>
          <t>2026-07-02</t>
        </is>
      </c>
      <c r="E50" s="45" t="n">
        <v>1112</v>
      </c>
      <c r="F50" s="32" t="inlineStr">
        <is>
          <t>paid</t>
        </is>
      </c>
      <c r="G50" s="32" t="inlineStr">
        <is>
          <t>fulfilled</t>
        </is>
      </c>
      <c r="H50" s="44" t="inlineStr">
        <is>
          <t>Cash on Delivery (COD)</t>
        </is>
      </c>
      <c r="I50" s="32" t="inlineStr">
        <is>
          <t>cod</t>
        </is>
      </c>
      <c r="J50" s="32" t="inlineStr">
        <is>
          <t>COD</t>
        </is>
      </c>
      <c r="K50" s="32" t="inlineStr">
        <is>
          <t>Delivered</t>
        </is>
      </c>
      <c r="L50" s="44" t="inlineStr">
        <is>
          <t>DELIVERED</t>
        </is>
      </c>
      <c r="M50" s="44" t="inlineStr">
        <is>
          <t>Bengaluru</t>
        </is>
      </c>
      <c r="N50" s="44" t="inlineStr">
        <is>
          <t>Karnataka</t>
        </is>
      </c>
      <c r="O50" s="32" t="inlineStr">
        <is>
          <t>'560076</t>
        </is>
      </c>
      <c r="P50" s="44" t="inlineStr">
        <is>
          <t>Sunset Petal - M</t>
        </is>
      </c>
      <c r="Q50" s="45" t="n">
        <v>0</v>
      </c>
      <c r="R50" s="44" t="inlineStr"/>
    </row>
    <row r="51">
      <c r="A51" s="35" t="n">
        <v>1128</v>
      </c>
      <c r="B51" s="35" t="inlineStr">
        <is>
          <t>#1128</t>
        </is>
      </c>
      <c r="C51" s="28" t="inlineStr">
        <is>
          <t>Shanmuga priya Priya</t>
        </is>
      </c>
      <c r="D51" s="35" t="inlineStr">
        <is>
          <t>2026-07-02</t>
        </is>
      </c>
      <c r="E51" s="46" t="n">
        <v>1032</v>
      </c>
      <c r="F51" s="35" t="inlineStr">
        <is>
          <t>paid</t>
        </is>
      </c>
      <c r="G51" s="35" t="inlineStr">
        <is>
          <t>fulfilled</t>
        </is>
      </c>
      <c r="H51" s="28" t="inlineStr">
        <is>
          <t>Cash on Delivery (COD)</t>
        </is>
      </c>
      <c r="I51" s="35" t="inlineStr">
        <is>
          <t>cod</t>
        </is>
      </c>
      <c r="J51" s="35" t="inlineStr">
        <is>
          <t>COD</t>
        </is>
      </c>
      <c r="K51" s="35" t="inlineStr">
        <is>
          <t>Delivered</t>
        </is>
      </c>
      <c r="L51" s="28" t="inlineStr">
        <is>
          <t>DELIVERED</t>
        </is>
      </c>
      <c r="M51" s="28" t="inlineStr">
        <is>
          <t>Vellore</t>
        </is>
      </c>
      <c r="N51" s="28" t="inlineStr">
        <is>
          <t>Tamil Nadu</t>
        </is>
      </c>
      <c r="O51" s="35" t="inlineStr">
        <is>
          <t>'632009</t>
        </is>
      </c>
      <c r="P51" s="28" t="inlineStr">
        <is>
          <t>Moss Majesty - M</t>
        </is>
      </c>
      <c r="Q51" s="46" t="n">
        <v>0</v>
      </c>
      <c r="R51" s="28" t="inlineStr"/>
    </row>
    <row r="52">
      <c r="A52" s="32" t="n">
        <v>1129</v>
      </c>
      <c r="B52" s="32" t="inlineStr">
        <is>
          <t>#1129</t>
        </is>
      </c>
      <c r="C52" s="44" t="inlineStr">
        <is>
          <t>Mamillapalli Sivakumari</t>
        </is>
      </c>
      <c r="D52" s="32" t="inlineStr">
        <is>
          <t>2026-07-02</t>
        </is>
      </c>
      <c r="E52" s="45" t="n">
        <v>1112</v>
      </c>
      <c r="F52" s="32" t="inlineStr">
        <is>
          <t>paid</t>
        </is>
      </c>
      <c r="G52" s="32" t="inlineStr">
        <is>
          <t>fulfilled</t>
        </is>
      </c>
      <c r="H52" s="44" t="inlineStr">
        <is>
          <t>Cash on Delivery (COD)</t>
        </is>
      </c>
      <c r="I52" s="32" t="inlineStr">
        <is>
          <t>cod</t>
        </is>
      </c>
      <c r="J52" s="32" t="inlineStr">
        <is>
          <t>COD</t>
        </is>
      </c>
      <c r="K52" s="32" t="inlineStr">
        <is>
          <t>Delivered</t>
        </is>
      </c>
      <c r="L52" s="44" t="inlineStr">
        <is>
          <t>DELIVERED</t>
        </is>
      </c>
      <c r="M52" s="44" t="inlineStr">
        <is>
          <t>Thiruvallur</t>
        </is>
      </c>
      <c r="N52" s="44" t="inlineStr">
        <is>
          <t>Tamil Nadu</t>
        </is>
      </c>
      <c r="O52" s="32" t="inlineStr">
        <is>
          <t>'601204</t>
        </is>
      </c>
      <c r="P52" s="44" t="inlineStr">
        <is>
          <t>Daisy Dusk Yellow - L</t>
        </is>
      </c>
      <c r="Q52" s="45" t="n">
        <v>0</v>
      </c>
      <c r="R52" s="44" t="inlineStr">
        <is>
          <t>UnableToContactRecipient_DeliveryAttempted</t>
        </is>
      </c>
    </row>
    <row r="53">
      <c r="A53" s="35" t="n">
        <v>1130</v>
      </c>
      <c r="B53" s="35" t="inlineStr">
        <is>
          <t>#1130</t>
        </is>
      </c>
      <c r="C53" s="28" t="inlineStr">
        <is>
          <t>Sudha G</t>
        </is>
      </c>
      <c r="D53" s="35" t="inlineStr">
        <is>
          <t>2026-07-02</t>
        </is>
      </c>
      <c r="E53" s="46" t="n">
        <v>3336</v>
      </c>
      <c r="F53" s="35" t="inlineStr">
        <is>
          <t>paid</t>
        </is>
      </c>
      <c r="G53" s="35" t="inlineStr">
        <is>
          <t>fulfilled</t>
        </is>
      </c>
      <c r="H53" s="28" t="inlineStr">
        <is>
          <t>01 Cards, UPI, NB, Wallets by Razorpay</t>
        </is>
      </c>
      <c r="I53" s="35" t="inlineStr">
        <is>
          <t>prepaid</t>
        </is>
      </c>
      <c r="J53" s="35" t="inlineStr">
        <is>
          <t>Prepaid</t>
        </is>
      </c>
      <c r="K53" s="35" t="inlineStr">
        <is>
          <t>Delivered</t>
        </is>
      </c>
      <c r="L53" s="28" t="inlineStr">
        <is>
          <t>DELIVERED</t>
        </is>
      </c>
      <c r="M53" s="28" t="inlineStr">
        <is>
          <t>Karur</t>
        </is>
      </c>
      <c r="N53" s="28" t="inlineStr">
        <is>
          <t>Tamil Nadu</t>
        </is>
      </c>
      <c r="O53" s="35" t="inlineStr">
        <is>
          <t>'639001</t>
        </is>
      </c>
      <c r="P53" s="28" t="inlineStr">
        <is>
          <t>Wine Blossom Top - XL, Dahlia Dusk - XL, Daisy Dusk Yellow - XL</t>
        </is>
      </c>
      <c r="Q53" s="46" t="n">
        <v>0</v>
      </c>
      <c r="R53" s="28" t="inlineStr"/>
    </row>
    <row r="54">
      <c r="A54" s="32" t="n">
        <v>1131</v>
      </c>
      <c r="B54" s="32" t="inlineStr">
        <is>
          <t>#1131</t>
        </is>
      </c>
      <c r="C54" s="44" t="inlineStr">
        <is>
          <t>Sindhuri Kalidindi</t>
        </is>
      </c>
      <c r="D54" s="32" t="inlineStr">
        <is>
          <t>2026-07-03</t>
        </is>
      </c>
      <c r="E54" s="45" t="n">
        <v>1032</v>
      </c>
      <c r="F54" s="32" t="inlineStr">
        <is>
          <t>paid</t>
        </is>
      </c>
      <c r="G54" s="32" t="inlineStr">
        <is>
          <t>fulfilled</t>
        </is>
      </c>
      <c r="H54" s="44" t="inlineStr">
        <is>
          <t>Cash on Delivery (COD)</t>
        </is>
      </c>
      <c r="I54" s="32" t="inlineStr">
        <is>
          <t>cod</t>
        </is>
      </c>
      <c r="J54" s="32" t="inlineStr">
        <is>
          <t>COD</t>
        </is>
      </c>
      <c r="K54" s="32" t="inlineStr">
        <is>
          <t>Delivered</t>
        </is>
      </c>
      <c r="L54" s="44" t="inlineStr">
        <is>
          <t>DELIVERED</t>
        </is>
      </c>
      <c r="M54" s="44" t="inlineStr">
        <is>
          <t>Hoshiarpur</t>
        </is>
      </c>
      <c r="N54" s="44" t="inlineStr">
        <is>
          <t>Punjab</t>
        </is>
      </c>
      <c r="O54" s="32" t="inlineStr">
        <is>
          <t>'146024</t>
        </is>
      </c>
      <c r="P54" s="44" t="inlineStr">
        <is>
          <t>Plum Pinstripe - 2XL</t>
        </is>
      </c>
      <c r="Q54" s="45" t="n">
        <v>0</v>
      </c>
      <c r="R54" s="44" t="inlineStr"/>
    </row>
    <row r="55">
      <c r="A55" s="35" t="n">
        <v>1132</v>
      </c>
      <c r="B55" s="35" t="inlineStr">
        <is>
          <t>#1132</t>
        </is>
      </c>
      <c r="C55" s="28" t="inlineStr">
        <is>
          <t>Sudha Manikandan</t>
        </is>
      </c>
      <c r="D55" s="35" t="inlineStr">
        <is>
          <t>2026-07-03</t>
        </is>
      </c>
      <c r="E55" s="46" t="n">
        <v>2144</v>
      </c>
      <c r="F55" s="35" t="inlineStr">
        <is>
          <t>paid</t>
        </is>
      </c>
      <c r="G55" s="35" t="inlineStr">
        <is>
          <t>fulfilled</t>
        </is>
      </c>
      <c r="H55" s="28" t="inlineStr">
        <is>
          <t>Cash on Delivery (COD)</t>
        </is>
      </c>
      <c r="I55" s="35" t="inlineStr">
        <is>
          <t>cod</t>
        </is>
      </c>
      <c r="J55" s="35" t="inlineStr">
        <is>
          <t>COD</t>
        </is>
      </c>
      <c r="K55" s="35" t="inlineStr">
        <is>
          <t>Delivered</t>
        </is>
      </c>
      <c r="L55" s="28" t="inlineStr">
        <is>
          <t>DELIVERED</t>
        </is>
      </c>
      <c r="M55" s="28" t="inlineStr">
        <is>
          <t>Madurai</t>
        </is>
      </c>
      <c r="N55" s="28" t="inlineStr">
        <is>
          <t>Tamil Nadu</t>
        </is>
      </c>
      <c r="O55" s="35" t="inlineStr">
        <is>
          <t>'625016</t>
        </is>
      </c>
      <c r="P55" s="28" t="inlineStr">
        <is>
          <t>Mystic Mist Red - XL, Daisy Dusk Yellow - XL</t>
        </is>
      </c>
      <c r="Q55" s="46" t="n">
        <v>0</v>
      </c>
      <c r="R55" s="28" t="inlineStr">
        <is>
          <t>UnableToContactRecipient_DeliveryAttempted</t>
        </is>
      </c>
    </row>
    <row r="56">
      <c r="A56" s="32" t="n">
        <v>1133</v>
      </c>
      <c r="B56" s="32" t="inlineStr">
        <is>
          <t>#1133</t>
        </is>
      </c>
      <c r="C56" s="44" t="inlineStr">
        <is>
          <t>Deva E</t>
        </is>
      </c>
      <c r="D56" s="32" t="inlineStr">
        <is>
          <t>2026-07-03</t>
        </is>
      </c>
      <c r="E56" s="45" t="n">
        <v>3096</v>
      </c>
      <c r="F56" s="32" t="inlineStr">
        <is>
          <t>paid</t>
        </is>
      </c>
      <c r="G56" s="32" t="inlineStr">
        <is>
          <t>fulfilled</t>
        </is>
      </c>
      <c r="H56" s="44" t="inlineStr">
        <is>
          <t>Cash on Delivery (COD)</t>
        </is>
      </c>
      <c r="I56" s="32" t="inlineStr">
        <is>
          <t>cod</t>
        </is>
      </c>
      <c r="J56" s="32" t="inlineStr">
        <is>
          <t>COD</t>
        </is>
      </c>
      <c r="K56" s="32" t="inlineStr">
        <is>
          <t>Delivered</t>
        </is>
      </c>
      <c r="L56" s="44" t="inlineStr">
        <is>
          <t>DELIVERED</t>
        </is>
      </c>
      <c r="M56" s="44" t="inlineStr">
        <is>
          <t>Chennai</t>
        </is>
      </c>
      <c r="N56" s="44" t="inlineStr">
        <is>
          <t>Tamil Nadu</t>
        </is>
      </c>
      <c r="O56" s="32" t="inlineStr">
        <is>
          <t>'600056</t>
        </is>
      </c>
      <c r="P56" s="44" t="inlineStr">
        <is>
          <t>Plum Pinstripe - 3XL, Purple Panache - 3XL, Bold Basil - 3XL</t>
        </is>
      </c>
      <c r="Q56" s="45" t="n">
        <v>0</v>
      </c>
      <c r="R56" s="44" t="inlineStr">
        <is>
          <t>Customer not available x Office or Residence closed</t>
        </is>
      </c>
    </row>
    <row r="57">
      <c r="A57" s="35" t="n">
        <v>1134</v>
      </c>
      <c r="B57" s="35" t="inlineStr">
        <is>
          <t>#1134</t>
        </is>
      </c>
      <c r="C57" s="28" t="inlineStr">
        <is>
          <t>Kaylash Pinkky</t>
        </is>
      </c>
      <c r="D57" s="35" t="inlineStr">
        <is>
          <t>2026-07-03</t>
        </is>
      </c>
      <c r="E57" s="46" t="n">
        <v>1131</v>
      </c>
      <c r="F57" s="35" t="inlineStr">
        <is>
          <t>pending</t>
        </is>
      </c>
      <c r="G57" s="35" t="inlineStr">
        <is>
          <t>fulfilled</t>
        </is>
      </c>
      <c r="H57" s="28" t="inlineStr">
        <is>
          <t>Cash on Delivery (COD)</t>
        </is>
      </c>
      <c r="I57" s="35" t="inlineStr">
        <is>
          <t>cod</t>
        </is>
      </c>
      <c r="J57" s="35" t="inlineStr">
        <is>
          <t>COD</t>
        </is>
      </c>
      <c r="K57" s="35" t="inlineStr">
        <is>
          <t>RTO / Returned</t>
        </is>
      </c>
      <c r="L57" s="28" t="inlineStr">
        <is>
          <t>RTO DELIVERED</t>
        </is>
      </c>
      <c r="M57" s="28" t="inlineStr">
        <is>
          <t>Secunderabad</t>
        </is>
      </c>
      <c r="N57" s="28" t="inlineStr">
        <is>
          <t>Telangana</t>
        </is>
      </c>
      <c r="O57" s="35" t="inlineStr">
        <is>
          <t>'500010</t>
        </is>
      </c>
      <c r="P57" s="28" t="inlineStr">
        <is>
          <t>Purple Panache - L</t>
        </is>
      </c>
      <c r="Q57" s="46" t="n">
        <v>0</v>
      </c>
      <c r="R57" s="28" t="inlineStr">
        <is>
          <t>OTP verified cancellation</t>
        </is>
      </c>
    </row>
    <row r="58">
      <c r="A58" s="32" t="n">
        <v>1135</v>
      </c>
      <c r="B58" s="32" t="inlineStr">
        <is>
          <t>#1135</t>
        </is>
      </c>
      <c r="C58" s="44" t="inlineStr">
        <is>
          <t>ANUSHA Bekkanti</t>
        </is>
      </c>
      <c r="D58" s="32" t="inlineStr">
        <is>
          <t>2026-07-03</t>
        </is>
      </c>
      <c r="E58" s="45" t="n">
        <v>1112</v>
      </c>
      <c r="F58" s="32" t="inlineStr">
        <is>
          <t>paid</t>
        </is>
      </c>
      <c r="G58" s="32" t="inlineStr">
        <is>
          <t>fulfilled</t>
        </is>
      </c>
      <c r="H58" s="44" t="inlineStr">
        <is>
          <t>01 Cards, UPI, NB, Wallets by Razorpay</t>
        </is>
      </c>
      <c r="I58" s="32" t="inlineStr">
        <is>
          <t>prepaid</t>
        </is>
      </c>
      <c r="J58" s="32" t="inlineStr">
        <is>
          <t>Prepaid</t>
        </is>
      </c>
      <c r="K58" s="32" t="inlineStr">
        <is>
          <t>Delivered</t>
        </is>
      </c>
      <c r="L58" s="44" t="inlineStr">
        <is>
          <t>DELIVERED</t>
        </is>
      </c>
      <c r="M58" s="44" t="inlineStr">
        <is>
          <t>Harlur Bengaluru</t>
        </is>
      </c>
      <c r="N58" s="44" t="inlineStr">
        <is>
          <t>Karnataka</t>
        </is>
      </c>
      <c r="O58" s="32" t="inlineStr">
        <is>
          <t>'560102</t>
        </is>
      </c>
      <c r="P58" s="44" t="inlineStr">
        <is>
          <t>Wine Blossom Top - XL</t>
        </is>
      </c>
      <c r="Q58" s="45" t="n">
        <v>0</v>
      </c>
      <c r="R58" s="44" t="inlineStr"/>
    </row>
    <row r="59">
      <c r="A59" s="35" t="n">
        <v>1136</v>
      </c>
      <c r="B59" s="35" t="inlineStr">
        <is>
          <t>#1136</t>
        </is>
      </c>
      <c r="C59" s="28" t="inlineStr">
        <is>
          <t>Bala Murali</t>
        </is>
      </c>
      <c r="D59" s="35" t="inlineStr">
        <is>
          <t>2026-07-03</t>
        </is>
      </c>
      <c r="E59" s="46" t="n">
        <v>1290</v>
      </c>
      <c r="F59" s="35" t="inlineStr">
        <is>
          <t>paid</t>
        </is>
      </c>
      <c r="G59" s="35" t="inlineStr">
        <is>
          <t>fulfilled</t>
        </is>
      </c>
      <c r="H59" s="28" t="inlineStr">
        <is>
          <t>01 Cards, UPI, NB, Wallets by Razorpay</t>
        </is>
      </c>
      <c r="I59" s="35" t="inlineStr">
        <is>
          <t>prepaid</t>
        </is>
      </c>
      <c r="J59" s="35" t="inlineStr">
        <is>
          <t>Prepaid</t>
        </is>
      </c>
      <c r="K59" s="35" t="inlineStr">
        <is>
          <t>Delivered</t>
        </is>
      </c>
      <c r="L59" s="28" t="inlineStr">
        <is>
          <t>DELIVERED</t>
        </is>
      </c>
      <c r="M59" s="28" t="inlineStr">
        <is>
          <t>Paramakudi , Ramanathapuram District</t>
        </is>
      </c>
      <c r="N59" s="28" t="inlineStr">
        <is>
          <t>Tamil Nadu</t>
        </is>
      </c>
      <c r="O59" s="35" t="inlineStr">
        <is>
          <t>'623707</t>
        </is>
      </c>
      <c r="P59" s="28" t="inlineStr">
        <is>
          <t>Bold Basil - 2XL</t>
        </is>
      </c>
      <c r="Q59" s="46" t="n">
        <v>0</v>
      </c>
      <c r="R59" s="28" t="inlineStr"/>
    </row>
    <row r="60">
      <c r="A60" s="32" t="n">
        <v>1137</v>
      </c>
      <c r="B60" s="32" t="inlineStr">
        <is>
          <t>#1137</t>
        </is>
      </c>
      <c r="C60" s="44" t="inlineStr">
        <is>
          <t>Sasi Gouru</t>
        </is>
      </c>
      <c r="D60" s="32" t="inlineStr">
        <is>
          <t>2026-07-04</t>
        </is>
      </c>
      <c r="E60" s="45" t="n">
        <v>1211</v>
      </c>
      <c r="F60" s="32" t="inlineStr">
        <is>
          <t>paid</t>
        </is>
      </c>
      <c r="G60" s="32" t="inlineStr">
        <is>
          <t>fulfilled</t>
        </is>
      </c>
      <c r="H60" s="44" t="inlineStr">
        <is>
          <t>Cash on Delivery (COD)</t>
        </is>
      </c>
      <c r="I60" s="32" t="inlineStr">
        <is>
          <t>cod</t>
        </is>
      </c>
      <c r="J60" s="32" t="inlineStr">
        <is>
          <t>COD</t>
        </is>
      </c>
      <c r="K60" s="32" t="inlineStr">
        <is>
          <t>Delivered</t>
        </is>
      </c>
      <c r="L60" s="44" t="inlineStr">
        <is>
          <t>DELIVERED</t>
        </is>
      </c>
      <c r="M60" s="44" t="inlineStr">
        <is>
          <t>Hyderabad</t>
        </is>
      </c>
      <c r="N60" s="44" t="inlineStr">
        <is>
          <t>Telangana</t>
        </is>
      </c>
      <c r="O60" s="32" t="inlineStr">
        <is>
          <t>'500090</t>
        </is>
      </c>
      <c r="P60" s="44" t="inlineStr">
        <is>
          <t>Daisy Dusk Yellow - L</t>
        </is>
      </c>
      <c r="Q60" s="45" t="n">
        <v>0</v>
      </c>
      <c r="R60" s="44" t="inlineStr"/>
    </row>
    <row r="61">
      <c r="A61" s="35" t="n">
        <v>1138</v>
      </c>
      <c r="B61" s="35" t="inlineStr">
        <is>
          <t>#1138</t>
        </is>
      </c>
      <c r="C61" s="28" t="inlineStr">
        <is>
          <t>Preeti Niranjan</t>
        </is>
      </c>
      <c r="D61" s="35" t="inlineStr">
        <is>
          <t>2026-07-04</t>
        </is>
      </c>
      <c r="E61" s="46" t="n">
        <v>1211</v>
      </c>
      <c r="F61" s="35" t="inlineStr">
        <is>
          <t>paid</t>
        </is>
      </c>
      <c r="G61" s="35" t="inlineStr">
        <is>
          <t>fulfilled</t>
        </is>
      </c>
      <c r="H61" s="28" t="inlineStr">
        <is>
          <t>Cash on Delivery (COD)</t>
        </is>
      </c>
      <c r="I61" s="35" t="inlineStr">
        <is>
          <t>cod</t>
        </is>
      </c>
      <c r="J61" s="35" t="inlineStr">
        <is>
          <t>COD</t>
        </is>
      </c>
      <c r="K61" s="35" t="inlineStr">
        <is>
          <t>Delivered</t>
        </is>
      </c>
      <c r="L61" s="28" t="inlineStr">
        <is>
          <t>DELIVERED</t>
        </is>
      </c>
      <c r="M61" s="28" t="inlineStr">
        <is>
          <t>Karwar Uttar kannada</t>
        </is>
      </c>
      <c r="N61" s="28" t="inlineStr">
        <is>
          <t>Karnataka</t>
        </is>
      </c>
      <c r="O61" s="35" t="inlineStr">
        <is>
          <t>'581400</t>
        </is>
      </c>
      <c r="P61" s="28" t="inlineStr">
        <is>
          <t>Wine Blossom Top - S</t>
        </is>
      </c>
      <c r="Q61" s="46" t="n">
        <v>0</v>
      </c>
      <c r="R61" s="28" t="inlineStr"/>
    </row>
    <row r="62">
      <c r="A62" s="32" t="n">
        <v>1139</v>
      </c>
      <c r="B62" s="32" t="inlineStr">
        <is>
          <t>#1139</t>
        </is>
      </c>
      <c r="C62" s="44" t="inlineStr">
        <is>
          <t>Keerthana C</t>
        </is>
      </c>
      <c r="D62" s="32" t="inlineStr">
        <is>
          <t>2026-07-04</t>
        </is>
      </c>
      <c r="E62" s="45" t="n">
        <v>1112</v>
      </c>
      <c r="F62" s="32" t="inlineStr">
        <is>
          <t>paid</t>
        </is>
      </c>
      <c r="G62" s="32" t="inlineStr">
        <is>
          <t>fulfilled</t>
        </is>
      </c>
      <c r="H62" s="44" t="inlineStr">
        <is>
          <t>01 Cards, UPI, NB, Wallets by Razorpay</t>
        </is>
      </c>
      <c r="I62" s="32" t="inlineStr">
        <is>
          <t>prepaid</t>
        </is>
      </c>
      <c r="J62" s="32" t="inlineStr">
        <is>
          <t>Prepaid</t>
        </is>
      </c>
      <c r="K62" s="32" t="inlineStr">
        <is>
          <t>Delivered</t>
        </is>
      </c>
      <c r="L62" s="44" t="inlineStr">
        <is>
          <t>DELIVERED</t>
        </is>
      </c>
      <c r="M62" s="44" t="inlineStr">
        <is>
          <t>Chennai</t>
        </is>
      </c>
      <c r="N62" s="44" t="inlineStr">
        <is>
          <t>Tamil Nadu</t>
        </is>
      </c>
      <c r="O62" s="32" t="inlineStr">
        <is>
          <t>'600091</t>
        </is>
      </c>
      <c r="P62" s="44" t="inlineStr">
        <is>
          <t>Daisy Dusk Yellow - XL</t>
        </is>
      </c>
      <c r="Q62" s="45" t="n">
        <v>0</v>
      </c>
      <c r="R62" s="44" t="inlineStr"/>
    </row>
    <row r="63">
      <c r="A63" s="35" t="n">
        <v>1141</v>
      </c>
      <c r="B63" s="35" t="inlineStr">
        <is>
          <t>#1141</t>
        </is>
      </c>
      <c r="C63" s="28" t="inlineStr">
        <is>
          <t>priya kathiravan</t>
        </is>
      </c>
      <c r="D63" s="35" t="inlineStr">
        <is>
          <t>2026-07-04</t>
        </is>
      </c>
      <c r="E63" s="46" t="n">
        <v>1211</v>
      </c>
      <c r="F63" s="35" t="inlineStr">
        <is>
          <t>paid</t>
        </is>
      </c>
      <c r="G63" s="35" t="inlineStr">
        <is>
          <t>fulfilled</t>
        </is>
      </c>
      <c r="H63" s="28" t="inlineStr">
        <is>
          <t>Cash on Delivery (COD)</t>
        </is>
      </c>
      <c r="I63" s="35" t="inlineStr">
        <is>
          <t>cod</t>
        </is>
      </c>
      <c r="J63" s="35" t="inlineStr">
        <is>
          <t>COD</t>
        </is>
      </c>
      <c r="K63" s="35" t="inlineStr">
        <is>
          <t>Delivered</t>
        </is>
      </c>
      <c r="L63" s="28" t="inlineStr">
        <is>
          <t>DELIVERED</t>
        </is>
      </c>
      <c r="M63" s="28" t="inlineStr">
        <is>
          <t>Sathyamoorthy Nagar</t>
        </is>
      </c>
      <c r="N63" s="28" t="inlineStr">
        <is>
          <t>Tamil Nadu</t>
        </is>
      </c>
      <c r="O63" s="35" t="inlineStr">
        <is>
          <t>'614804</t>
        </is>
      </c>
      <c r="P63" s="28" t="inlineStr">
        <is>
          <t>Sunset Petal - S</t>
        </is>
      </c>
      <c r="Q63" s="46" t="n">
        <v>0</v>
      </c>
      <c r="R63" s="28" t="inlineStr"/>
    </row>
    <row r="64">
      <c r="A64" s="32" t="n">
        <v>1142</v>
      </c>
      <c r="B64" s="32" t="inlineStr">
        <is>
          <t>#1142</t>
        </is>
      </c>
      <c r="C64" s="44" t="inlineStr">
        <is>
          <t>Sunanda P</t>
        </is>
      </c>
      <c r="D64" s="32" t="inlineStr">
        <is>
          <t>2026-07-04</t>
        </is>
      </c>
      <c r="E64" s="45" t="n">
        <v>2779</v>
      </c>
      <c r="F64" s="32" t="inlineStr">
        <is>
          <t>paid</t>
        </is>
      </c>
      <c r="G64" s="32" t="inlineStr">
        <is>
          <t>fulfilled</t>
        </is>
      </c>
      <c r="H64" s="44" t="inlineStr">
        <is>
          <t>Cash on Delivery (COD)</t>
        </is>
      </c>
      <c r="I64" s="32" t="inlineStr">
        <is>
          <t>cod</t>
        </is>
      </c>
      <c r="J64" s="32" t="inlineStr">
        <is>
          <t>COD</t>
        </is>
      </c>
      <c r="K64" s="32" t="inlineStr">
        <is>
          <t>Delivered</t>
        </is>
      </c>
      <c r="L64" s="44" t="inlineStr">
        <is>
          <t>DELIVERED</t>
        </is>
      </c>
      <c r="M64" s="44" t="inlineStr">
        <is>
          <t>Bengaluru</t>
        </is>
      </c>
      <c r="N64" s="44" t="inlineStr">
        <is>
          <t>Karnataka</t>
        </is>
      </c>
      <c r="O64" s="32" t="inlineStr">
        <is>
          <t>'560011</t>
        </is>
      </c>
      <c r="P64" s="44" t="inlineStr">
        <is>
          <t>Azure Bloom Top - XXL, Plum Pinstripe - 2XL</t>
        </is>
      </c>
      <c r="Q64" s="45" t="n">
        <v>0</v>
      </c>
      <c r="R64" s="44" t="inlineStr"/>
    </row>
    <row r="65">
      <c r="A65" s="35" t="n">
        <v>1143</v>
      </c>
      <c r="B65" s="35" t="inlineStr">
        <is>
          <t>#1143</t>
        </is>
      </c>
      <c r="C65" s="28" t="inlineStr">
        <is>
          <t>Nandhini V</t>
        </is>
      </c>
      <c r="D65" s="35" t="inlineStr">
        <is>
          <t>2026-07-04</t>
        </is>
      </c>
      <c r="E65" s="46" t="n">
        <v>1112</v>
      </c>
      <c r="F65" s="35" t="inlineStr">
        <is>
          <t>paid</t>
        </is>
      </c>
      <c r="G65" s="35" t="inlineStr">
        <is>
          <t>fulfilled</t>
        </is>
      </c>
      <c r="H65" s="28" t="inlineStr">
        <is>
          <t>01 Cards, UPI, NB, Wallets by Razorpay</t>
        </is>
      </c>
      <c r="I65" s="35" t="inlineStr">
        <is>
          <t>prepaid</t>
        </is>
      </c>
      <c r="J65" s="35" t="inlineStr">
        <is>
          <t>Prepaid</t>
        </is>
      </c>
      <c r="K65" s="35" t="inlineStr">
        <is>
          <t>Delivered</t>
        </is>
      </c>
      <c r="L65" s="28" t="inlineStr">
        <is>
          <t>DELIVERED</t>
        </is>
      </c>
      <c r="M65" s="28" t="inlineStr">
        <is>
          <t>Kanchipuram</t>
        </is>
      </c>
      <c r="N65" s="28" t="inlineStr">
        <is>
          <t>Tamil Nadu</t>
        </is>
      </c>
      <c r="O65" s="35" t="inlineStr">
        <is>
          <t>'631601</t>
        </is>
      </c>
      <c r="P65" s="28" t="inlineStr">
        <is>
          <t>Wine Blossom Top - M</t>
        </is>
      </c>
      <c r="Q65" s="46" t="n">
        <v>0</v>
      </c>
      <c r="R65" s="28" t="inlineStr"/>
    </row>
    <row r="66">
      <c r="A66" s="32" t="n">
        <v>1144</v>
      </c>
      <c r="B66" s="32" t="inlineStr">
        <is>
          <t>#1144</t>
        </is>
      </c>
      <c r="C66" s="44" t="inlineStr">
        <is>
          <t>Deepak Raj</t>
        </is>
      </c>
      <c r="D66" s="32" t="inlineStr">
        <is>
          <t>2026-07-05</t>
        </is>
      </c>
      <c r="E66" s="45" t="n">
        <v>1211</v>
      </c>
      <c r="F66" s="32" t="inlineStr">
        <is>
          <t>paid</t>
        </is>
      </c>
      <c r="G66" s="32" t="inlineStr">
        <is>
          <t>fulfilled</t>
        </is>
      </c>
      <c r="H66" s="44" t="inlineStr">
        <is>
          <t>Cash on Delivery (COD)</t>
        </is>
      </c>
      <c r="I66" s="32" t="inlineStr">
        <is>
          <t>cod</t>
        </is>
      </c>
      <c r="J66" s="32" t="inlineStr">
        <is>
          <t>COD</t>
        </is>
      </c>
      <c r="K66" s="32" t="inlineStr">
        <is>
          <t>Delivered</t>
        </is>
      </c>
      <c r="L66" s="44" t="inlineStr">
        <is>
          <t>DELIVERED</t>
        </is>
      </c>
      <c r="M66" s="44" t="inlineStr">
        <is>
          <t>Chennai</t>
        </is>
      </c>
      <c r="N66" s="44" t="inlineStr">
        <is>
          <t>Tamil Nadu</t>
        </is>
      </c>
      <c r="O66" s="32" t="inlineStr">
        <is>
          <t>'600045</t>
        </is>
      </c>
      <c r="P66" s="44" t="inlineStr">
        <is>
          <t>Rose Charm Top - S</t>
        </is>
      </c>
      <c r="Q66" s="45" t="n">
        <v>0</v>
      </c>
      <c r="R66" s="44" t="inlineStr"/>
    </row>
    <row r="67">
      <c r="A67" s="35" t="n">
        <v>1146</v>
      </c>
      <c r="B67" s="35" t="inlineStr">
        <is>
          <t>#1146</t>
        </is>
      </c>
      <c r="C67" s="28" t="inlineStr">
        <is>
          <t>Astin</t>
        </is>
      </c>
      <c r="D67" s="35" t="inlineStr">
        <is>
          <t>2026-07-05</t>
        </is>
      </c>
      <c r="E67" s="46" t="n">
        <v>2243</v>
      </c>
      <c r="F67" s="35" t="inlineStr">
        <is>
          <t>paid</t>
        </is>
      </c>
      <c r="G67" s="35" t="inlineStr">
        <is>
          <t>fulfilled</t>
        </is>
      </c>
      <c r="H67" s="28" t="inlineStr">
        <is>
          <t>Cash on Delivery (COD)</t>
        </is>
      </c>
      <c r="I67" s="35" t="inlineStr">
        <is>
          <t>cod</t>
        </is>
      </c>
      <c r="J67" s="35" t="inlineStr">
        <is>
          <t>COD</t>
        </is>
      </c>
      <c r="K67" s="35" t="inlineStr">
        <is>
          <t>Delivered</t>
        </is>
      </c>
      <c r="L67" s="28" t="inlineStr">
        <is>
          <t>DELIVERED</t>
        </is>
      </c>
      <c r="M67" s="28" t="inlineStr">
        <is>
          <t>Thanjavur</t>
        </is>
      </c>
      <c r="N67" s="28" t="inlineStr">
        <is>
          <t>Tamil Nadu</t>
        </is>
      </c>
      <c r="O67" s="35" t="inlineStr">
        <is>
          <t>'613007</t>
        </is>
      </c>
      <c r="P67" s="28" t="inlineStr">
        <is>
          <t>Geometric Glam - L, Purple Panache - L</t>
        </is>
      </c>
      <c r="Q67" s="46" t="n">
        <v>0</v>
      </c>
      <c r="R67" s="28" t="inlineStr"/>
    </row>
    <row r="68">
      <c r="A68" s="32" t="n">
        <v>1147</v>
      </c>
      <c r="B68" s="32" t="inlineStr">
        <is>
          <t>#1147</t>
        </is>
      </c>
      <c r="C68" s="44" t="inlineStr">
        <is>
          <t>vishalini priya</t>
        </is>
      </c>
      <c r="D68" s="32" t="inlineStr">
        <is>
          <t>2026-07-05</t>
        </is>
      </c>
      <c r="E68" s="45" t="n">
        <v>2780</v>
      </c>
      <c r="F68" s="32" t="inlineStr">
        <is>
          <t>paid</t>
        </is>
      </c>
      <c r="G68" s="32" t="inlineStr">
        <is>
          <t>fulfilled</t>
        </is>
      </c>
      <c r="H68" s="44" t="inlineStr">
        <is>
          <t>01 Cards, UPI, NB, Wallets by Razorpay</t>
        </is>
      </c>
      <c r="I68" s="32" t="inlineStr">
        <is>
          <t>prepaid</t>
        </is>
      </c>
      <c r="J68" s="32" t="inlineStr">
        <is>
          <t>Prepaid</t>
        </is>
      </c>
      <c r="K68" s="32" t="inlineStr">
        <is>
          <t>Delivered</t>
        </is>
      </c>
      <c r="L68" s="44" t="inlineStr">
        <is>
          <t>DELIVERED</t>
        </is>
      </c>
      <c r="M68" s="44" t="inlineStr">
        <is>
          <t>Kanchipuram</t>
        </is>
      </c>
      <c r="N68" s="44" t="inlineStr">
        <is>
          <t>Tamil Nadu</t>
        </is>
      </c>
      <c r="O68" s="32" t="inlineStr">
        <is>
          <t>'600117</t>
        </is>
      </c>
      <c r="P68" s="44" t="inlineStr">
        <is>
          <t>Geometric Glam - 3XL, Daisy Dusk Yellow - 3XL</t>
        </is>
      </c>
      <c r="Q68" s="45" t="n">
        <v>0</v>
      </c>
      <c r="R68" s="44" t="inlineStr"/>
    </row>
    <row r="69">
      <c r="A69" s="35" t="n">
        <v>1148</v>
      </c>
      <c r="B69" s="35" t="inlineStr">
        <is>
          <t>#1148</t>
        </is>
      </c>
      <c r="C69" s="28" t="inlineStr">
        <is>
          <t>Amirtha Varshini</t>
        </is>
      </c>
      <c r="D69" s="35" t="inlineStr">
        <is>
          <t>2026-07-06</t>
        </is>
      </c>
      <c r="E69" s="46" t="n">
        <v>1131</v>
      </c>
      <c r="F69" s="35" t="inlineStr">
        <is>
          <t>pending</t>
        </is>
      </c>
      <c r="G69" s="35" t="inlineStr">
        <is>
          <t>fulfilled</t>
        </is>
      </c>
      <c r="H69" s="28" t="inlineStr">
        <is>
          <t>Cash on Delivery (COD)</t>
        </is>
      </c>
      <c r="I69" s="35" t="inlineStr">
        <is>
          <t>cod</t>
        </is>
      </c>
      <c r="J69" s="35" t="inlineStr">
        <is>
          <t>COD</t>
        </is>
      </c>
      <c r="K69" s="35" t="inlineStr">
        <is>
          <t>RTO / Returned</t>
        </is>
      </c>
      <c r="L69" s="28" t="inlineStr">
        <is>
          <t>RTO DELIVERED</t>
        </is>
      </c>
      <c r="M69" s="28" t="inlineStr">
        <is>
          <t>Tirunelveli</t>
        </is>
      </c>
      <c r="N69" s="28" t="inlineStr">
        <is>
          <t>Tamil Nadu</t>
        </is>
      </c>
      <c r="O69" s="35" t="inlineStr">
        <is>
          <t>'627007</t>
        </is>
      </c>
      <c r="P69" s="28" t="inlineStr">
        <is>
          <t>Plum Pinstripe - L</t>
        </is>
      </c>
      <c r="Q69" s="46" t="n">
        <v>0</v>
      </c>
      <c r="R69" s="28" t="inlineStr">
        <is>
          <t>OTP verified cancellation</t>
        </is>
      </c>
    </row>
    <row r="70">
      <c r="A70" s="32" t="n">
        <v>1149</v>
      </c>
      <c r="B70" s="32" t="inlineStr">
        <is>
          <t>#1149</t>
        </is>
      </c>
      <c r="C70" s="44" t="inlineStr">
        <is>
          <t>Princy Raj</t>
        </is>
      </c>
      <c r="D70" s="32" t="inlineStr">
        <is>
          <t>2026-07-06</t>
        </is>
      </c>
      <c r="E70" s="45" t="n">
        <v>1290</v>
      </c>
      <c r="F70" s="32" t="inlineStr">
        <is>
          <t>paid</t>
        </is>
      </c>
      <c r="G70" s="32" t="inlineStr">
        <is>
          <t>fulfilled</t>
        </is>
      </c>
      <c r="H70" s="44" t="inlineStr">
        <is>
          <t>01 Cards, UPI, NB, Wallets by Razorpay</t>
        </is>
      </c>
      <c r="I70" s="32" t="inlineStr">
        <is>
          <t>prepaid</t>
        </is>
      </c>
      <c r="J70" s="32" t="inlineStr">
        <is>
          <t>Prepaid</t>
        </is>
      </c>
      <c r="K70" s="32" t="inlineStr">
        <is>
          <t>Delivered</t>
        </is>
      </c>
      <c r="L70" s="44" t="inlineStr">
        <is>
          <t>DELIVERED</t>
        </is>
      </c>
      <c r="M70" s="44" t="inlineStr">
        <is>
          <t>Thanjavur</t>
        </is>
      </c>
      <c r="N70" s="44" t="inlineStr">
        <is>
          <t>Tamil Nadu</t>
        </is>
      </c>
      <c r="O70" s="32" t="inlineStr">
        <is>
          <t>'613204</t>
        </is>
      </c>
      <c r="P70" s="44" t="inlineStr">
        <is>
          <t>Purple Panache - L</t>
        </is>
      </c>
      <c r="Q70" s="45" t="n">
        <v>0</v>
      </c>
      <c r="R70" s="44" t="inlineStr"/>
    </row>
    <row r="71">
      <c r="A71" s="35" t="n">
        <v>1150</v>
      </c>
      <c r="B71" s="35" t="inlineStr">
        <is>
          <t>#1150</t>
        </is>
      </c>
      <c r="C71" s="28" t="inlineStr">
        <is>
          <t>Kavitha Sharma</t>
        </is>
      </c>
      <c r="D71" s="35" t="inlineStr">
        <is>
          <t>2026-07-06</t>
        </is>
      </c>
      <c r="E71" s="46" t="n">
        <v>1211</v>
      </c>
      <c r="F71" s="35" t="inlineStr">
        <is>
          <t>paid</t>
        </is>
      </c>
      <c r="G71" s="35" t="inlineStr">
        <is>
          <t>fulfilled</t>
        </is>
      </c>
      <c r="H71" s="28" t="inlineStr">
        <is>
          <t>Cash on Delivery (COD)</t>
        </is>
      </c>
      <c r="I71" s="35" t="inlineStr">
        <is>
          <t>cod</t>
        </is>
      </c>
      <c r="J71" s="35" t="inlineStr">
        <is>
          <t>COD</t>
        </is>
      </c>
      <c r="K71" s="35" t="inlineStr">
        <is>
          <t>Delivered</t>
        </is>
      </c>
      <c r="L71" s="28" t="inlineStr">
        <is>
          <t>DELIVERED</t>
        </is>
      </c>
      <c r="M71" s="28" t="inlineStr">
        <is>
          <t>Vizianagaram District</t>
        </is>
      </c>
      <c r="N71" s="28" t="inlineStr">
        <is>
          <t>Andhra Pradesh</t>
        </is>
      </c>
      <c r="O71" s="35" t="inlineStr">
        <is>
          <t>'535558</t>
        </is>
      </c>
      <c r="P71" s="28" t="inlineStr">
        <is>
          <t>Sunset Petal - XL</t>
        </is>
      </c>
      <c r="Q71" s="46" t="n">
        <v>0</v>
      </c>
      <c r="R71" s="28" t="inlineStr"/>
    </row>
    <row r="72">
      <c r="A72" s="32" t="n">
        <v>1151</v>
      </c>
      <c r="B72" s="32" t="inlineStr">
        <is>
          <t>#1151</t>
        </is>
      </c>
      <c r="C72" s="44" t="inlineStr">
        <is>
          <t>Subha Chandrasekar</t>
        </is>
      </c>
      <c r="D72" s="32" t="inlineStr">
        <is>
          <t>2026-07-06</t>
        </is>
      </c>
      <c r="E72" s="45" t="n">
        <v>1390</v>
      </c>
      <c r="F72" s="32" t="inlineStr">
        <is>
          <t>paid</t>
        </is>
      </c>
      <c r="G72" s="32" t="inlineStr">
        <is>
          <t>fulfilled</t>
        </is>
      </c>
      <c r="H72" s="44" t="inlineStr">
        <is>
          <t>01 Cards, UPI, NB, Wallets by Razorpay</t>
        </is>
      </c>
      <c r="I72" s="32" t="inlineStr">
        <is>
          <t>prepaid</t>
        </is>
      </c>
      <c r="J72" s="32" t="inlineStr">
        <is>
          <t>Prepaid</t>
        </is>
      </c>
      <c r="K72" s="32" t="inlineStr">
        <is>
          <t>Delivered</t>
        </is>
      </c>
      <c r="L72" s="44" t="inlineStr">
        <is>
          <t>DELIVERED</t>
        </is>
      </c>
      <c r="M72" s="44" t="inlineStr">
        <is>
          <t>Chennai</t>
        </is>
      </c>
      <c r="N72" s="44" t="inlineStr">
        <is>
          <t>Tamil Nadu</t>
        </is>
      </c>
      <c r="O72" s="32" t="inlineStr">
        <is>
          <t>'600083</t>
        </is>
      </c>
      <c r="P72" s="44" t="inlineStr">
        <is>
          <t>Cocoa Elegance Top - XL</t>
        </is>
      </c>
      <c r="Q72" s="45" t="n">
        <v>0</v>
      </c>
      <c r="R72" s="44" t="inlineStr"/>
    </row>
    <row r="73">
      <c r="A73" s="35" t="n">
        <v>1152</v>
      </c>
      <c r="B73" s="35" t="inlineStr">
        <is>
          <t>#1152</t>
        </is>
      </c>
      <c r="C73" s="28" t="inlineStr">
        <is>
          <t>Pooja Akiwate</t>
        </is>
      </c>
      <c r="D73" s="35" t="inlineStr">
        <is>
          <t>2026-07-07</t>
        </is>
      </c>
      <c r="E73" s="46" t="n">
        <v>1211</v>
      </c>
      <c r="F73" s="35" t="inlineStr">
        <is>
          <t>voided</t>
        </is>
      </c>
      <c r="G73" s="35" t="inlineStr">
        <is>
          <t>unfulfilled</t>
        </is>
      </c>
      <c r="H73" s="28" t="inlineStr">
        <is>
          <t>Cash on Delivery (COD)</t>
        </is>
      </c>
      <c r="I73" s="35" t="inlineStr">
        <is>
          <t>prepaid</t>
        </is>
      </c>
      <c r="J73" s="35" t="inlineStr">
        <is>
          <t>COD</t>
        </is>
      </c>
      <c r="K73" s="35" t="inlineStr">
        <is>
          <t>Canceled</t>
        </is>
      </c>
      <c r="L73" s="28" t="inlineStr">
        <is>
          <t>CANCELED</t>
        </is>
      </c>
      <c r="M73" s="28" t="inlineStr">
        <is>
          <t>Shirol</t>
        </is>
      </c>
      <c r="N73" s="28" t="inlineStr">
        <is>
          <t>Maharashtra</t>
        </is>
      </c>
      <c r="O73" s="35" t="inlineStr">
        <is>
          <t>'416122</t>
        </is>
      </c>
      <c r="P73" s="28" t="inlineStr">
        <is>
          <t>Daisy Dusk Yellow - XXL</t>
        </is>
      </c>
      <c r="Q73" s="46" t="n">
        <v>0</v>
      </c>
      <c r="R73" s="28" t="inlineStr"/>
    </row>
    <row r="74">
      <c r="A74" s="32" t="n">
        <v>1153</v>
      </c>
      <c r="B74" s="32" t="inlineStr">
        <is>
          <t>#1153</t>
        </is>
      </c>
      <c r="C74" s="44" t="inlineStr">
        <is>
          <t>Chellakumar Duraisamy</t>
        </is>
      </c>
      <c r="D74" s="32" t="inlineStr">
        <is>
          <t>2026-07-07</t>
        </is>
      </c>
      <c r="E74" s="45" t="n">
        <v>1390</v>
      </c>
      <c r="F74" s="32" t="inlineStr">
        <is>
          <t>paid</t>
        </is>
      </c>
      <c r="G74" s="32" t="inlineStr">
        <is>
          <t>fulfilled</t>
        </is>
      </c>
      <c r="H74" s="44" t="inlineStr">
        <is>
          <t>01 Cards, UPI, NB, Wallets by Razorpay</t>
        </is>
      </c>
      <c r="I74" s="32" t="inlineStr">
        <is>
          <t>prepaid</t>
        </is>
      </c>
      <c r="J74" s="32" t="inlineStr">
        <is>
          <t>Prepaid</t>
        </is>
      </c>
      <c r="K74" s="32" t="inlineStr">
        <is>
          <t>Delivered</t>
        </is>
      </c>
      <c r="L74" s="44" t="inlineStr">
        <is>
          <t>DELIVERED</t>
        </is>
      </c>
      <c r="M74" s="44" t="inlineStr">
        <is>
          <t>Ponnamaravathy</t>
        </is>
      </c>
      <c r="N74" s="44" t="inlineStr">
        <is>
          <t>Tamil Nadu</t>
        </is>
      </c>
      <c r="O74" s="32" t="inlineStr">
        <is>
          <t>'622408</t>
        </is>
      </c>
      <c r="P74" s="44" t="inlineStr">
        <is>
          <t>Daisy Dusk Yellow - S</t>
        </is>
      </c>
      <c r="Q74" s="45" t="n">
        <v>0</v>
      </c>
      <c r="R74" s="44" t="inlineStr"/>
    </row>
    <row r="75">
      <c r="A75" s="35" t="n">
        <v>1154</v>
      </c>
      <c r="B75" s="35" t="inlineStr">
        <is>
          <t>#1154</t>
        </is>
      </c>
      <c r="C75" s="28" t="inlineStr">
        <is>
          <t>Sagar reddy</t>
        </is>
      </c>
      <c r="D75" s="35" t="inlineStr">
        <is>
          <t>2026-07-07</t>
        </is>
      </c>
      <c r="E75" s="46" t="n">
        <v>2144</v>
      </c>
      <c r="F75" s="35" t="inlineStr">
        <is>
          <t>refunded</t>
        </is>
      </c>
      <c r="G75" s="35" t="inlineStr">
        <is>
          <t>fulfilled</t>
        </is>
      </c>
      <c r="H75" s="28" t="inlineStr">
        <is>
          <t>01 Cards, UPI, NB, Wallets by Razorpay</t>
        </is>
      </c>
      <c r="I75" s="35" t="inlineStr">
        <is>
          <t>prepaid</t>
        </is>
      </c>
      <c r="J75" s="35" t="inlineStr">
        <is>
          <t>Prepaid</t>
        </is>
      </c>
      <c r="K75" s="35" t="inlineStr">
        <is>
          <t>RTO / Returned</t>
        </is>
      </c>
      <c r="L75" s="28" t="inlineStr">
        <is>
          <t>DELIVERED</t>
        </is>
      </c>
      <c r="M75" s="28" t="inlineStr">
        <is>
          <t>Banglore</t>
        </is>
      </c>
      <c r="N75" s="28" t="inlineStr">
        <is>
          <t>Karnataka</t>
        </is>
      </c>
      <c r="O75" s="35" t="inlineStr">
        <is>
          <t>'560076</t>
        </is>
      </c>
      <c r="P75" s="28" t="inlineStr">
        <is>
          <t>Ameera Purple Royale Anarkali Dress - M</t>
        </is>
      </c>
      <c r="Q75" s="46" t="n">
        <v>2144</v>
      </c>
      <c r="R75" s="28" t="inlineStr"/>
    </row>
    <row r="76">
      <c r="A76" s="32" t="n">
        <v>1155</v>
      </c>
      <c r="B76" s="32" t="inlineStr">
        <is>
          <t>#1155</t>
        </is>
      </c>
      <c r="C76" s="44" t="inlineStr">
        <is>
          <t>Surekha Aketi</t>
        </is>
      </c>
      <c r="D76" s="32" t="inlineStr">
        <is>
          <t>2026-07-07</t>
        </is>
      </c>
      <c r="E76" s="45" t="n">
        <v>1112</v>
      </c>
      <c r="F76" s="32" t="inlineStr">
        <is>
          <t>paid</t>
        </is>
      </c>
      <c r="G76" s="32" t="inlineStr">
        <is>
          <t>fulfilled</t>
        </is>
      </c>
      <c r="H76" s="44" t="inlineStr">
        <is>
          <t>01 Cards, UPI, NB, Wallets by Razorpay</t>
        </is>
      </c>
      <c r="I76" s="32" t="inlineStr">
        <is>
          <t>prepaid</t>
        </is>
      </c>
      <c r="J76" s="32" t="inlineStr">
        <is>
          <t>Prepaid</t>
        </is>
      </c>
      <c r="K76" s="32" t="inlineStr">
        <is>
          <t>Delivered</t>
        </is>
      </c>
      <c r="L76" s="44" t="inlineStr">
        <is>
          <t>DELIVERED</t>
        </is>
      </c>
      <c r="M76" s="44" t="inlineStr">
        <is>
          <t>Padur</t>
        </is>
      </c>
      <c r="N76" s="44" t="inlineStr">
        <is>
          <t>Tamil Nadu</t>
        </is>
      </c>
      <c r="O76" s="32" t="inlineStr">
        <is>
          <t>'603103</t>
        </is>
      </c>
      <c r="P76" s="44" t="inlineStr">
        <is>
          <t>Sunset Petal - XXL</t>
        </is>
      </c>
      <c r="Q76" s="45" t="n">
        <v>0</v>
      </c>
      <c r="R76" s="44" t="inlineStr"/>
    </row>
    <row r="77">
      <c r="A77" s="35" t="n">
        <v>1156</v>
      </c>
      <c r="B77" s="35" t="inlineStr">
        <is>
          <t>#1156</t>
        </is>
      </c>
      <c r="C77" s="28" t="inlineStr">
        <is>
          <t>Nandhini Manikandan</t>
        </is>
      </c>
      <c r="D77" s="35" t="inlineStr">
        <is>
          <t>2026-07-07</t>
        </is>
      </c>
      <c r="E77" s="46" t="n">
        <v>1211</v>
      </c>
      <c r="F77" s="35" t="inlineStr">
        <is>
          <t>paid</t>
        </is>
      </c>
      <c r="G77" s="35" t="inlineStr">
        <is>
          <t>fulfilled</t>
        </is>
      </c>
      <c r="H77" s="28" t="inlineStr">
        <is>
          <t>Cash on Delivery (COD)</t>
        </is>
      </c>
      <c r="I77" s="35" t="inlineStr">
        <is>
          <t>cod</t>
        </is>
      </c>
      <c r="J77" s="35" t="inlineStr">
        <is>
          <t>COD</t>
        </is>
      </c>
      <c r="K77" s="35" t="inlineStr">
        <is>
          <t>Delivered</t>
        </is>
      </c>
      <c r="L77" s="28" t="inlineStr">
        <is>
          <t>DELIVERED</t>
        </is>
      </c>
      <c r="M77" s="28" t="inlineStr">
        <is>
          <t>Coimbatore</t>
        </is>
      </c>
      <c r="N77" s="28" t="inlineStr">
        <is>
          <t>Tamil Nadu</t>
        </is>
      </c>
      <c r="O77" s="35" t="inlineStr">
        <is>
          <t>'641006</t>
        </is>
      </c>
      <c r="P77" s="28" t="inlineStr">
        <is>
          <t>Lime Regalia Top - XXL</t>
        </is>
      </c>
      <c r="Q77" s="46" t="n">
        <v>0</v>
      </c>
      <c r="R77" s="28" t="inlineStr"/>
    </row>
    <row r="78">
      <c r="A78" s="32" t="n">
        <v>1157</v>
      </c>
      <c r="B78" s="32" t="inlineStr">
        <is>
          <t>#1157</t>
        </is>
      </c>
      <c r="C78" s="44" t="inlineStr">
        <is>
          <t>Benjamin sunil</t>
        </is>
      </c>
      <c r="D78" s="32" t="inlineStr">
        <is>
          <t>2026-07-08</t>
        </is>
      </c>
      <c r="E78" s="45" t="n">
        <v>1112</v>
      </c>
      <c r="F78" s="32" t="inlineStr">
        <is>
          <t>paid</t>
        </is>
      </c>
      <c r="G78" s="32" t="inlineStr">
        <is>
          <t>fulfilled</t>
        </is>
      </c>
      <c r="H78" s="44" t="inlineStr">
        <is>
          <t>01 Cards, UPI, NB, Wallets by Razorpay</t>
        </is>
      </c>
      <c r="I78" s="32" t="inlineStr">
        <is>
          <t>prepaid</t>
        </is>
      </c>
      <c r="J78" s="32" t="inlineStr">
        <is>
          <t>Prepaid</t>
        </is>
      </c>
      <c r="K78" s="32" t="inlineStr">
        <is>
          <t>Delivered</t>
        </is>
      </c>
      <c r="L78" s="44" t="inlineStr">
        <is>
          <t>DELIVERED</t>
        </is>
      </c>
      <c r="M78" s="44" t="inlineStr">
        <is>
          <t>Thrissur</t>
        </is>
      </c>
      <c r="N78" s="44" t="inlineStr">
        <is>
          <t>Kerala</t>
        </is>
      </c>
      <c r="O78" s="32" t="inlineStr">
        <is>
          <t>'680751</t>
        </is>
      </c>
      <c r="P78" s="44" t="inlineStr">
        <is>
          <t>Sapphire Charm Top - L</t>
        </is>
      </c>
      <c r="Q78" s="45" t="n">
        <v>0</v>
      </c>
      <c r="R78" s="44" t="inlineStr"/>
    </row>
    <row r="79">
      <c r="A79" s="35" t="n">
        <v>1158</v>
      </c>
      <c r="B79" s="35" t="inlineStr">
        <is>
          <t>#1158</t>
        </is>
      </c>
      <c r="C79" s="28" t="inlineStr">
        <is>
          <t>Edara kavitha Kavitha</t>
        </is>
      </c>
      <c r="D79" s="35" t="inlineStr">
        <is>
          <t>2026-07-08</t>
        </is>
      </c>
      <c r="E79" s="46" t="n">
        <v>1489</v>
      </c>
      <c r="F79" s="35" t="inlineStr">
        <is>
          <t>voided</t>
        </is>
      </c>
      <c r="G79" s="35" t="inlineStr">
        <is>
          <t>unfulfilled</t>
        </is>
      </c>
      <c r="H79" s="28" t="inlineStr">
        <is>
          <t>Cash on Delivery (COD)</t>
        </is>
      </c>
      <c r="I79" s="35" t="inlineStr">
        <is>
          <t>prepaid</t>
        </is>
      </c>
      <c r="J79" s="35" t="inlineStr">
        <is>
          <t>COD</t>
        </is>
      </c>
      <c r="K79" s="35" t="inlineStr">
        <is>
          <t>Canceled</t>
        </is>
      </c>
      <c r="L79" s="28" t="inlineStr">
        <is>
          <t>CANCELED</t>
        </is>
      </c>
      <c r="M79" s="28" t="inlineStr">
        <is>
          <t>Ongole</t>
        </is>
      </c>
      <c r="N79" s="28" t="inlineStr">
        <is>
          <t>Andhra Pradesh</t>
        </is>
      </c>
      <c r="O79" s="35" t="inlineStr">
        <is>
          <t>'523001</t>
        </is>
      </c>
      <c r="P79" s="28" t="inlineStr">
        <is>
          <t>Daisy Dusk Yellow - L</t>
        </is>
      </c>
      <c r="Q79" s="46" t="n">
        <v>0</v>
      </c>
      <c r="R79" s="28" t="inlineStr"/>
    </row>
    <row r="80">
      <c r="A80" s="32" t="n">
        <v>1159</v>
      </c>
      <c r="B80" s="32" t="inlineStr">
        <is>
          <t>#1159</t>
        </is>
      </c>
      <c r="C80" s="44" t="inlineStr">
        <is>
          <t>SOBANA SHYAM</t>
        </is>
      </c>
      <c r="D80" s="32" t="inlineStr">
        <is>
          <t>2026-07-08</t>
        </is>
      </c>
      <c r="E80" s="45" t="n">
        <v>2224</v>
      </c>
      <c r="F80" s="32" t="inlineStr">
        <is>
          <t>paid</t>
        </is>
      </c>
      <c r="G80" s="32" t="inlineStr">
        <is>
          <t>fulfilled</t>
        </is>
      </c>
      <c r="H80" s="44" t="inlineStr">
        <is>
          <t>01 Cards, UPI, NB, Wallets by Razorpay</t>
        </is>
      </c>
      <c r="I80" s="32" t="inlineStr">
        <is>
          <t>prepaid</t>
        </is>
      </c>
      <c r="J80" s="32" t="inlineStr">
        <is>
          <t>Prepaid</t>
        </is>
      </c>
      <c r="K80" s="32" t="inlineStr">
        <is>
          <t>Delivered</t>
        </is>
      </c>
      <c r="L80" s="44" t="inlineStr">
        <is>
          <t>DELIVERED</t>
        </is>
      </c>
      <c r="M80" s="44" t="inlineStr">
        <is>
          <t>Thoothukudi</t>
        </is>
      </c>
      <c r="N80" s="44" t="inlineStr">
        <is>
          <t>Tamil Nadu</t>
        </is>
      </c>
      <c r="O80" s="32" t="inlineStr">
        <is>
          <t>'628008</t>
        </is>
      </c>
      <c r="P80" s="44" t="inlineStr">
        <is>
          <t>Geometric Glam - 3XL, Royal Teal Top - 3XL</t>
        </is>
      </c>
      <c r="Q80" s="45" t="n">
        <v>0</v>
      </c>
      <c r="R80" s="44" t="inlineStr">
        <is>
          <t>DeliveryAttempted_UnableToContactRecipient</t>
        </is>
      </c>
    </row>
    <row r="81">
      <c r="A81" s="35" t="n">
        <v>1160</v>
      </c>
      <c r="B81" s="35" t="inlineStr">
        <is>
          <t>#1160</t>
        </is>
      </c>
      <c r="C81" s="28" t="inlineStr">
        <is>
          <t>NANDHINI V</t>
        </is>
      </c>
      <c r="D81" s="35" t="inlineStr">
        <is>
          <t>2026-07-09</t>
        </is>
      </c>
      <c r="E81" s="46" t="n">
        <v>1112</v>
      </c>
      <c r="F81" s="35" t="inlineStr">
        <is>
          <t>paid</t>
        </is>
      </c>
      <c r="G81" s="35" t="inlineStr">
        <is>
          <t>fulfilled</t>
        </is>
      </c>
      <c r="H81" s="28" t="inlineStr">
        <is>
          <t>01 Cards, UPI, NB, Wallets by Razorpay</t>
        </is>
      </c>
      <c r="I81" s="35" t="inlineStr">
        <is>
          <t>prepaid</t>
        </is>
      </c>
      <c r="J81" s="35" t="inlineStr">
        <is>
          <t>Prepaid</t>
        </is>
      </c>
      <c r="K81" s="35" t="inlineStr">
        <is>
          <t>Delivered</t>
        </is>
      </c>
      <c r="L81" s="28" t="inlineStr">
        <is>
          <t>DELIVERED</t>
        </is>
      </c>
      <c r="M81" s="28" t="inlineStr">
        <is>
          <t>Salem</t>
        </is>
      </c>
      <c r="N81" s="28" t="inlineStr">
        <is>
          <t>Tamil Nadu</t>
        </is>
      </c>
      <c r="O81" s="35" t="inlineStr">
        <is>
          <t>'636005</t>
        </is>
      </c>
      <c r="P81" s="28" t="inlineStr">
        <is>
          <t>Daisy Dusk Yellow - XXL</t>
        </is>
      </c>
      <c r="Q81" s="46" t="n">
        <v>0</v>
      </c>
      <c r="R81" s="28" t="inlineStr"/>
    </row>
    <row r="82">
      <c r="A82" s="32" t="n">
        <v>1161</v>
      </c>
      <c r="B82" s="32" t="inlineStr">
        <is>
          <t>#1161</t>
        </is>
      </c>
      <c r="C82" s="44" t="inlineStr">
        <is>
          <t>Sumi Aranga</t>
        </is>
      </c>
      <c r="D82" s="32" t="inlineStr">
        <is>
          <t>2026-07-09</t>
        </is>
      </c>
      <c r="E82" s="45" t="n">
        <v>1112</v>
      </c>
      <c r="F82" s="32" t="inlineStr">
        <is>
          <t>paid</t>
        </is>
      </c>
      <c r="G82" s="32" t="inlineStr">
        <is>
          <t>fulfilled</t>
        </is>
      </c>
      <c r="H82" s="44" t="inlineStr">
        <is>
          <t>01 Cards, UPI, NB, Wallets by Razorpay</t>
        </is>
      </c>
      <c r="I82" s="32" t="inlineStr">
        <is>
          <t>prepaid</t>
        </is>
      </c>
      <c r="J82" s="32" t="inlineStr">
        <is>
          <t>Prepaid</t>
        </is>
      </c>
      <c r="K82" s="32" t="inlineStr">
        <is>
          <t>Delivered</t>
        </is>
      </c>
      <c r="L82" s="44" t="inlineStr">
        <is>
          <t>DELIVERED</t>
        </is>
      </c>
      <c r="M82" s="44" t="inlineStr">
        <is>
          <t>Coimbatore</t>
        </is>
      </c>
      <c r="N82" s="44" t="inlineStr">
        <is>
          <t>Tamil Nadu</t>
        </is>
      </c>
      <c r="O82" s="32" t="inlineStr">
        <is>
          <t>'641018</t>
        </is>
      </c>
      <c r="P82" s="44" t="inlineStr">
        <is>
          <t>Peach Elegance Top - L</t>
        </is>
      </c>
      <c r="Q82" s="45" t="n">
        <v>0</v>
      </c>
      <c r="R82" s="44" t="inlineStr">
        <is>
          <t>Consignee unavailable</t>
        </is>
      </c>
    </row>
    <row r="83">
      <c r="A83" s="35" t="n">
        <v>1162</v>
      </c>
      <c r="B83" s="35" t="inlineStr">
        <is>
          <t>#1162</t>
        </is>
      </c>
      <c r="C83" s="28" t="inlineStr">
        <is>
          <t>Pavithra Sakthivel</t>
        </is>
      </c>
      <c r="D83" s="35" t="inlineStr">
        <is>
          <t>2026-07-09</t>
        </is>
      </c>
      <c r="E83" s="46" t="n">
        <v>1112</v>
      </c>
      <c r="F83" s="35" t="inlineStr">
        <is>
          <t>paid</t>
        </is>
      </c>
      <c r="G83" s="35" t="inlineStr">
        <is>
          <t>fulfilled</t>
        </is>
      </c>
      <c r="H83" s="28" t="inlineStr">
        <is>
          <t>01 Cards, UPI, NB, Wallets by Razorpay</t>
        </is>
      </c>
      <c r="I83" s="35" t="inlineStr">
        <is>
          <t>prepaid</t>
        </is>
      </c>
      <c r="J83" s="35" t="inlineStr">
        <is>
          <t>Prepaid</t>
        </is>
      </c>
      <c r="K83" s="35" t="inlineStr">
        <is>
          <t>Delivered</t>
        </is>
      </c>
      <c r="L83" s="28" t="inlineStr">
        <is>
          <t>DELIVERED</t>
        </is>
      </c>
      <c r="M83" s="28" t="inlineStr">
        <is>
          <t>Tiruchirapalli</t>
        </is>
      </c>
      <c r="N83" s="28" t="inlineStr">
        <is>
          <t>Tamil Nadu</t>
        </is>
      </c>
      <c r="O83" s="35" t="inlineStr">
        <is>
          <t>'620007</t>
        </is>
      </c>
      <c r="P83" s="28" t="inlineStr">
        <is>
          <t>Sunset Petal - XL</t>
        </is>
      </c>
      <c r="Q83" s="46" t="n">
        <v>0</v>
      </c>
      <c r="R83" s="28" t="inlineStr"/>
    </row>
    <row r="84">
      <c r="A84" s="32" t="n">
        <v>1163</v>
      </c>
      <c r="B84" s="32" t="inlineStr">
        <is>
          <t>#1163</t>
        </is>
      </c>
      <c r="C84" s="44" t="inlineStr">
        <is>
          <t>Raja M</t>
        </is>
      </c>
      <c r="D84" s="32" t="inlineStr">
        <is>
          <t>2026-07-09</t>
        </is>
      </c>
      <c r="E84" s="45" t="n">
        <v>1112</v>
      </c>
      <c r="F84" s="32" t="inlineStr">
        <is>
          <t>paid</t>
        </is>
      </c>
      <c r="G84" s="32" t="inlineStr">
        <is>
          <t>fulfilled</t>
        </is>
      </c>
      <c r="H84" s="44" t="inlineStr">
        <is>
          <t>01 Cards, UPI, NB, Wallets by Razorpay</t>
        </is>
      </c>
      <c r="I84" s="32" t="inlineStr">
        <is>
          <t>prepaid</t>
        </is>
      </c>
      <c r="J84" s="32" t="inlineStr">
        <is>
          <t>Prepaid</t>
        </is>
      </c>
      <c r="K84" s="32" t="inlineStr">
        <is>
          <t>Delivered</t>
        </is>
      </c>
      <c r="L84" s="44" t="inlineStr">
        <is>
          <t>DELIVERED</t>
        </is>
      </c>
      <c r="M84" s="44" t="inlineStr">
        <is>
          <t>Gummidipoondi</t>
        </is>
      </c>
      <c r="N84" s="44" t="inlineStr">
        <is>
          <t>Tamil Nadu</t>
        </is>
      </c>
      <c r="O84" s="32" t="inlineStr">
        <is>
          <t>'601201</t>
        </is>
      </c>
      <c r="P84" s="44" t="inlineStr">
        <is>
          <t>Royal Rosa - XXL</t>
        </is>
      </c>
      <c r="Q84" s="45" t="n">
        <v>0</v>
      </c>
      <c r="R84" s="44" t="inlineStr">
        <is>
          <t>Consignee unavailable</t>
        </is>
      </c>
    </row>
    <row r="85">
      <c r="A85" s="35" t="n">
        <v>1164</v>
      </c>
      <c r="B85" s="35" t="inlineStr">
        <is>
          <t>#1164</t>
        </is>
      </c>
      <c r="C85" s="28" t="inlineStr">
        <is>
          <t>Radha K</t>
        </is>
      </c>
      <c r="D85" s="35" t="inlineStr">
        <is>
          <t>2026-07-09</t>
        </is>
      </c>
      <c r="E85" s="46" t="n">
        <v>2323</v>
      </c>
      <c r="F85" s="35" t="inlineStr">
        <is>
          <t>paid</t>
        </is>
      </c>
      <c r="G85" s="35" t="inlineStr">
        <is>
          <t>partial</t>
        </is>
      </c>
      <c r="H85" s="28" t="inlineStr">
        <is>
          <t>Cash on Delivery (COD)</t>
        </is>
      </c>
      <c r="I85" s="35" t="inlineStr">
        <is>
          <t>cod</t>
        </is>
      </c>
      <c r="J85" s="35" t="inlineStr">
        <is>
          <t>COD</t>
        </is>
      </c>
      <c r="K85" s="35" t="inlineStr">
        <is>
          <t>Delivered</t>
        </is>
      </c>
      <c r="L85" s="28" t="inlineStr">
        <is>
          <t>DELIVERED</t>
        </is>
      </c>
      <c r="M85" s="28" t="inlineStr">
        <is>
          <t>Chennai</t>
        </is>
      </c>
      <c r="N85" s="28" t="inlineStr">
        <is>
          <t>Tamil Nadu</t>
        </is>
      </c>
      <c r="O85" s="35" t="inlineStr">
        <is>
          <t>'600077</t>
        </is>
      </c>
      <c r="P85" s="28" t="inlineStr">
        <is>
          <t>Sunset Petal - L, Sunset Petal - XL</t>
        </is>
      </c>
      <c r="Q85" s="46" t="n">
        <v>0</v>
      </c>
      <c r="R85" s="28" t="inlineStr"/>
    </row>
    <row r="86">
      <c r="A86" s="32" t="n">
        <v>1165</v>
      </c>
      <c r="B86" s="32" t="inlineStr">
        <is>
          <t>#1165</t>
        </is>
      </c>
      <c r="C86" s="44" t="inlineStr">
        <is>
          <t>Raj Dasmati Gagrai</t>
        </is>
      </c>
      <c r="D86" s="32" t="inlineStr">
        <is>
          <t>2026-07-09</t>
        </is>
      </c>
      <c r="E86" s="45" t="n">
        <v>3256</v>
      </c>
      <c r="F86" s="32" t="inlineStr">
        <is>
          <t>paid</t>
        </is>
      </c>
      <c r="G86" s="32" t="inlineStr">
        <is>
          <t>fulfilled</t>
        </is>
      </c>
      <c r="H86" s="44" t="inlineStr">
        <is>
          <t>01 Cards, UPI, NB, Wallets by Razorpay</t>
        </is>
      </c>
      <c r="I86" s="32" t="inlineStr">
        <is>
          <t>prepaid</t>
        </is>
      </c>
      <c r="J86" s="32" t="inlineStr">
        <is>
          <t>Prepaid</t>
        </is>
      </c>
      <c r="K86" s="32" t="inlineStr">
        <is>
          <t>Delivered</t>
        </is>
      </c>
      <c r="L86" s="44" t="inlineStr">
        <is>
          <t>DELIVERED</t>
        </is>
      </c>
      <c r="M86" s="44" t="inlineStr">
        <is>
          <t>Chaibasa</t>
        </is>
      </c>
      <c r="N86" s="44" t="inlineStr">
        <is>
          <t>Jharkhand</t>
        </is>
      </c>
      <c r="O86" s="32" t="inlineStr">
        <is>
          <t>'833201</t>
        </is>
      </c>
      <c r="P86" s="44" t="inlineStr">
        <is>
          <t>Honey Bloom Top - 3XL, Plum Pinstripe - 2XL, Daisy Dusk Yellow - XXL</t>
        </is>
      </c>
      <c r="Q86" s="45" t="n">
        <v>0</v>
      </c>
      <c r="R86" s="44" t="inlineStr"/>
    </row>
    <row r="87">
      <c r="A87" s="35" t="n">
        <v>1166</v>
      </c>
      <c r="B87" s="35" t="inlineStr">
        <is>
          <t>#1166</t>
        </is>
      </c>
      <c r="C87" s="28" t="inlineStr">
        <is>
          <t>R.Radha Sakthi</t>
        </is>
      </c>
      <c r="D87" s="35" t="inlineStr">
        <is>
          <t>2026-07-09</t>
        </is>
      </c>
      <c r="E87" s="46" t="n">
        <v>1032</v>
      </c>
      <c r="F87" s="35" t="inlineStr">
        <is>
          <t>paid</t>
        </is>
      </c>
      <c r="G87" s="35" t="inlineStr">
        <is>
          <t>fulfilled</t>
        </is>
      </c>
      <c r="H87" s="28" t="inlineStr">
        <is>
          <t>01 Cards, UPI, NB, Wallets by Razorpay</t>
        </is>
      </c>
      <c r="I87" s="35" t="inlineStr">
        <is>
          <t>prepaid</t>
        </is>
      </c>
      <c r="J87" s="35" t="inlineStr">
        <is>
          <t>Prepaid</t>
        </is>
      </c>
      <c r="K87" s="35" t="inlineStr">
        <is>
          <t>Delivered</t>
        </is>
      </c>
      <c r="L87" s="28" t="inlineStr">
        <is>
          <t>DELIVERED</t>
        </is>
      </c>
      <c r="M87" s="28" t="inlineStr">
        <is>
          <t>Salem</t>
        </is>
      </c>
      <c r="N87" s="28" t="inlineStr">
        <is>
          <t>Tamil Nadu</t>
        </is>
      </c>
      <c r="O87" s="35" t="inlineStr">
        <is>
          <t>'636115</t>
        </is>
      </c>
      <c r="P87" s="28" t="inlineStr">
        <is>
          <t>Plum Pinstripe - XL</t>
        </is>
      </c>
      <c r="Q87" s="46" t="n">
        <v>0</v>
      </c>
      <c r="R87" s="28" t="inlineStr"/>
    </row>
    <row r="88">
      <c r="A88" s="32" t="n">
        <v>1167</v>
      </c>
      <c r="B88" s="32" t="inlineStr">
        <is>
          <t>#1167</t>
        </is>
      </c>
      <c r="C88" s="44" t="inlineStr">
        <is>
          <t>Nirosha Koppu</t>
        </is>
      </c>
      <c r="D88" s="32" t="inlineStr">
        <is>
          <t>2026-07-10</t>
        </is>
      </c>
      <c r="E88" s="45" t="n">
        <v>1131</v>
      </c>
      <c r="F88" s="32" t="inlineStr">
        <is>
          <t>paid</t>
        </is>
      </c>
      <c r="G88" s="32" t="inlineStr">
        <is>
          <t>fulfilled</t>
        </is>
      </c>
      <c r="H88" s="44" t="inlineStr">
        <is>
          <t>Cash on Delivery (COD)</t>
        </is>
      </c>
      <c r="I88" s="32" t="inlineStr">
        <is>
          <t>cod</t>
        </is>
      </c>
      <c r="J88" s="32" t="inlineStr">
        <is>
          <t>COD</t>
        </is>
      </c>
      <c r="K88" s="32" t="inlineStr">
        <is>
          <t>Delivered</t>
        </is>
      </c>
      <c r="L88" s="44" t="inlineStr">
        <is>
          <t>DELIVERED</t>
        </is>
      </c>
      <c r="M88" s="44" t="inlineStr">
        <is>
          <t>Mancherial</t>
        </is>
      </c>
      <c r="N88" s="44" t="inlineStr">
        <is>
          <t>Telangana</t>
        </is>
      </c>
      <c r="O88" s="32" t="inlineStr">
        <is>
          <t>'504208</t>
        </is>
      </c>
      <c r="P88" s="44" t="inlineStr">
        <is>
          <t>Plum Pinstripe - 2XL</t>
        </is>
      </c>
      <c r="Q88" s="45" t="n">
        <v>0</v>
      </c>
      <c r="R88" s="44" t="inlineStr">
        <is>
          <t>Customer not contactable</t>
        </is>
      </c>
    </row>
    <row r="89">
      <c r="A89" s="35" t="n">
        <v>1168</v>
      </c>
      <c r="B89" s="35" t="inlineStr">
        <is>
          <t>#1168</t>
        </is>
      </c>
      <c r="C89" s="28" t="inlineStr">
        <is>
          <t>Shyla Niranjan</t>
        </is>
      </c>
      <c r="D89" s="35" t="inlineStr">
        <is>
          <t>2026-07-10</t>
        </is>
      </c>
      <c r="E89" s="46" t="n">
        <v>2779</v>
      </c>
      <c r="F89" s="35" t="inlineStr">
        <is>
          <t>voided</t>
        </is>
      </c>
      <c r="G89" s="35" t="inlineStr">
        <is>
          <t>unfulfilled</t>
        </is>
      </c>
      <c r="H89" s="28" t="inlineStr">
        <is>
          <t>Cash on Delivery (COD)</t>
        </is>
      </c>
      <c r="I89" s="35" t="inlineStr">
        <is>
          <t>cod</t>
        </is>
      </c>
      <c r="J89" s="35" t="inlineStr">
        <is>
          <t>COD</t>
        </is>
      </c>
      <c r="K89" s="35" t="inlineStr">
        <is>
          <t>Canceled</t>
        </is>
      </c>
      <c r="L89" s="28" t="inlineStr">
        <is>
          <t>CANCELED</t>
        </is>
      </c>
      <c r="M89" s="28" t="inlineStr">
        <is>
          <t>Arasinakunte</t>
        </is>
      </c>
      <c r="N89" s="28" t="inlineStr">
        <is>
          <t>Karnataka</t>
        </is>
      </c>
      <c r="O89" s="35" t="inlineStr">
        <is>
          <t>'562123</t>
        </is>
      </c>
      <c r="P89" s="28" t="inlineStr">
        <is>
          <t>Neelara Zari Anarkali Dress - L</t>
        </is>
      </c>
      <c r="Q89" s="46" t="n">
        <v>0</v>
      </c>
      <c r="R89" s="28" t="inlineStr"/>
    </row>
    <row r="90">
      <c r="A90" s="32" t="n">
        <v>1169</v>
      </c>
      <c r="B90" s="32" t="inlineStr">
        <is>
          <t>#1169</t>
        </is>
      </c>
      <c r="C90" s="44" t="inlineStr">
        <is>
          <t>ashok L</t>
        </is>
      </c>
      <c r="D90" s="32" t="inlineStr">
        <is>
          <t>2026-07-10</t>
        </is>
      </c>
      <c r="E90" s="45" t="n">
        <v>1752</v>
      </c>
      <c r="F90" s="32" t="inlineStr">
        <is>
          <t>paid</t>
        </is>
      </c>
      <c r="G90" s="32" t="inlineStr">
        <is>
          <t>fulfilled</t>
        </is>
      </c>
      <c r="H90" s="44" t="inlineStr">
        <is>
          <t>01 Cards, UPI, NB, Wallets by Razorpay</t>
        </is>
      </c>
      <c r="I90" s="32" t="inlineStr">
        <is>
          <t>prepaid</t>
        </is>
      </c>
      <c r="J90" s="32" t="inlineStr">
        <is>
          <t>Prepaid</t>
        </is>
      </c>
      <c r="K90" s="32" t="inlineStr">
        <is>
          <t>Delivered</t>
        </is>
      </c>
      <c r="L90" s="44" t="inlineStr">
        <is>
          <t>DELIVERED</t>
        </is>
      </c>
      <c r="M90" s="44" t="inlineStr">
        <is>
          <t>Chennau</t>
        </is>
      </c>
      <c r="N90" s="44" t="inlineStr">
        <is>
          <t>Tamil Nadu</t>
        </is>
      </c>
      <c r="O90" s="32" t="inlineStr">
        <is>
          <t>'600097</t>
        </is>
      </c>
      <c r="P90" s="44" t="inlineStr">
        <is>
          <t>Noorza Crimson Grace Anarkali Dress - XL</t>
        </is>
      </c>
      <c r="Q90" s="45" t="n">
        <v>0</v>
      </c>
      <c r="R90" s="44" t="inlineStr"/>
    </row>
    <row r="91">
      <c r="A91" s="35" t="n">
        <v>1170</v>
      </c>
      <c r="B91" s="35" t="inlineStr">
        <is>
          <t>#1170</t>
        </is>
      </c>
      <c r="C91" s="28" t="inlineStr">
        <is>
          <t>T.sridevi Sridevi</t>
        </is>
      </c>
      <c r="D91" s="35" t="inlineStr">
        <is>
          <t>2026-07-10</t>
        </is>
      </c>
      <c r="E91" s="46" t="n">
        <v>3024</v>
      </c>
      <c r="F91" s="35" t="inlineStr">
        <is>
          <t>paid</t>
        </is>
      </c>
      <c r="G91" s="35" t="inlineStr">
        <is>
          <t>fulfilled</t>
        </is>
      </c>
      <c r="H91" s="28" t="inlineStr">
        <is>
          <t>01 Cards, UPI, NB, Wallets by Razorpay</t>
        </is>
      </c>
      <c r="I91" s="35" t="inlineStr">
        <is>
          <t>prepaid</t>
        </is>
      </c>
      <c r="J91" s="35" t="inlineStr">
        <is>
          <t>Prepaid</t>
        </is>
      </c>
      <c r="K91" s="35" t="inlineStr">
        <is>
          <t>Delivered</t>
        </is>
      </c>
      <c r="L91" s="28" t="inlineStr">
        <is>
          <t>DELIVERED</t>
        </is>
      </c>
      <c r="M91" s="28" t="inlineStr">
        <is>
          <t>Hyderabad</t>
        </is>
      </c>
      <c r="N91" s="28" t="inlineStr">
        <is>
          <t>Telangana</t>
        </is>
      </c>
      <c r="O91" s="35" t="inlineStr">
        <is>
          <t>'500038</t>
        </is>
      </c>
      <c r="P91" s="28" t="inlineStr">
        <is>
          <t>Purple Panache - M, Charcoal Zari Grace Chudidhar Set - M</t>
        </is>
      </c>
      <c r="Q91" s="46" t="n">
        <v>0</v>
      </c>
      <c r="R91" s="28" t="inlineStr"/>
    </row>
    <row r="92">
      <c r="A92" s="32" t="n">
        <v>1171</v>
      </c>
      <c r="B92" s="32" t="inlineStr">
        <is>
          <t>#1171</t>
        </is>
      </c>
      <c r="C92" s="44" t="inlineStr">
        <is>
          <t>Mani Chandran</t>
        </is>
      </c>
      <c r="D92" s="32" t="inlineStr">
        <is>
          <t>2026-07-10</t>
        </is>
      </c>
      <c r="E92" s="45" t="n">
        <v>10879</v>
      </c>
      <c r="F92" s="32" t="inlineStr">
        <is>
          <t>voided</t>
        </is>
      </c>
      <c r="G92" s="32" t="inlineStr">
        <is>
          <t>unfulfilled</t>
        </is>
      </c>
      <c r="H92" s="44" t="inlineStr">
        <is>
          <t>Cash on Delivery (COD)</t>
        </is>
      </c>
      <c r="I92" s="32" t="inlineStr">
        <is>
          <t>prepaid</t>
        </is>
      </c>
      <c r="J92" s="32" t="inlineStr">
        <is>
          <t>COD</t>
        </is>
      </c>
      <c r="K92" s="32" t="inlineStr">
        <is>
          <t>Canceled</t>
        </is>
      </c>
      <c r="L92" s="44" t="inlineStr">
        <is>
          <t>CANCELED</t>
        </is>
      </c>
      <c r="M92" s="44" t="inlineStr">
        <is>
          <t>jbjj</t>
        </is>
      </c>
      <c r="N92" s="44" t="inlineStr">
        <is>
          <t>Tamil Nadu</t>
        </is>
      </c>
      <c r="O92" s="32" t="inlineStr">
        <is>
          <t>'627105</t>
        </is>
      </c>
      <c r="P92" s="44" t="inlineStr">
        <is>
          <t>The Bottle Green Lucknowi Chikankari Lehenga Set</t>
        </is>
      </c>
      <c r="Q92" s="45" t="n">
        <v>0</v>
      </c>
      <c r="R92" s="44" t="inlineStr"/>
    </row>
    <row r="93">
      <c r="A93" s="35" t="n">
        <v>1172</v>
      </c>
      <c r="B93" s="35" t="inlineStr">
        <is>
          <t>#1172</t>
        </is>
      </c>
      <c r="C93" s="28" t="inlineStr">
        <is>
          <t>Ushasri Babu</t>
        </is>
      </c>
      <c r="D93" s="35" t="inlineStr">
        <is>
          <t>2026-07-10</t>
        </is>
      </c>
      <c r="E93" s="46" t="n">
        <v>1032</v>
      </c>
      <c r="F93" s="35" t="inlineStr">
        <is>
          <t>paid</t>
        </is>
      </c>
      <c r="G93" s="35" t="inlineStr">
        <is>
          <t>fulfilled</t>
        </is>
      </c>
      <c r="H93" s="28" t="inlineStr">
        <is>
          <t>01 Cards, UPI, NB, Wallets by Razorpay</t>
        </is>
      </c>
      <c r="I93" s="35" t="inlineStr">
        <is>
          <t>prepaid</t>
        </is>
      </c>
      <c r="J93" s="35" t="inlineStr">
        <is>
          <t>Prepaid</t>
        </is>
      </c>
      <c r="K93" s="35" t="inlineStr">
        <is>
          <t>Delivered</t>
        </is>
      </c>
      <c r="L93" s="28" t="inlineStr">
        <is>
          <t>DELIVERED</t>
        </is>
      </c>
      <c r="M93" s="28" t="inlineStr">
        <is>
          <t>Chennai</t>
        </is>
      </c>
      <c r="N93" s="28" t="inlineStr">
        <is>
          <t>Tamil Nadu</t>
        </is>
      </c>
      <c r="O93" s="35" t="inlineStr">
        <is>
          <t>'600042</t>
        </is>
      </c>
      <c r="P93" s="28" t="inlineStr">
        <is>
          <t>Plum Pinstripe - 2XL</t>
        </is>
      </c>
      <c r="Q93" s="46" t="n">
        <v>0</v>
      </c>
      <c r="R93" s="28" t="inlineStr"/>
    </row>
    <row r="94">
      <c r="A94" s="32" t="n">
        <v>1173</v>
      </c>
      <c r="B94" s="32" t="inlineStr">
        <is>
          <t>#1173</t>
        </is>
      </c>
      <c r="C94" s="44" t="inlineStr">
        <is>
          <t>Rashmi Rashu</t>
        </is>
      </c>
      <c r="D94" s="32" t="inlineStr">
        <is>
          <t>2026-07-10</t>
        </is>
      </c>
      <c r="E94" s="45" t="n">
        <v>1290</v>
      </c>
      <c r="F94" s="32" t="inlineStr">
        <is>
          <t>paid</t>
        </is>
      </c>
      <c r="G94" s="32" t="inlineStr">
        <is>
          <t>fulfilled</t>
        </is>
      </c>
      <c r="H94" s="44" t="inlineStr">
        <is>
          <t>01 Cards, UPI, NB, Wallets by Razorpay</t>
        </is>
      </c>
      <c r="I94" s="32" t="inlineStr">
        <is>
          <t>prepaid</t>
        </is>
      </c>
      <c r="J94" s="32" t="inlineStr">
        <is>
          <t>Prepaid</t>
        </is>
      </c>
      <c r="K94" s="32" t="inlineStr">
        <is>
          <t>Delivered</t>
        </is>
      </c>
      <c r="L94" s="44" t="inlineStr">
        <is>
          <t>DELIVERED</t>
        </is>
      </c>
      <c r="M94" s="44" t="inlineStr">
        <is>
          <t>Sullia</t>
        </is>
      </c>
      <c r="N94" s="44" t="inlineStr">
        <is>
          <t>Karnataka</t>
        </is>
      </c>
      <c r="O94" s="32" t="inlineStr">
        <is>
          <t>'574248</t>
        </is>
      </c>
      <c r="P94" s="44" t="inlineStr">
        <is>
          <t>Plum Pinstripe - M</t>
        </is>
      </c>
      <c r="Q94" s="45" t="n">
        <v>0</v>
      </c>
      <c r="R94" s="44" t="inlineStr"/>
    </row>
    <row r="95">
      <c r="A95" s="35" t="n">
        <v>1174</v>
      </c>
      <c r="B95" s="35" t="inlineStr">
        <is>
          <t>#1174</t>
        </is>
      </c>
      <c r="C95" s="28" t="inlineStr">
        <is>
          <t>Sunanda P</t>
        </is>
      </c>
      <c r="D95" s="35" t="inlineStr">
        <is>
          <t>2026-07-10</t>
        </is>
      </c>
      <c r="E95" s="46" t="n">
        <v>1390</v>
      </c>
      <c r="F95" s="35" t="inlineStr">
        <is>
          <t>paid</t>
        </is>
      </c>
      <c r="G95" s="35" t="inlineStr">
        <is>
          <t>fulfilled</t>
        </is>
      </c>
      <c r="H95" s="28" t="inlineStr">
        <is>
          <t>01 Cards, UPI, NB, Wallets by Razorpay</t>
        </is>
      </c>
      <c r="I95" s="35" t="inlineStr">
        <is>
          <t>prepaid</t>
        </is>
      </c>
      <c r="J95" s="35" t="inlineStr">
        <is>
          <t>Prepaid</t>
        </is>
      </c>
      <c r="K95" s="35" t="inlineStr">
        <is>
          <t>Delivered</t>
        </is>
      </c>
      <c r="L95" s="28" t="inlineStr">
        <is>
          <t>DELIVERED</t>
        </is>
      </c>
      <c r="M95" s="28" t="inlineStr">
        <is>
          <t>Bengaluru</t>
        </is>
      </c>
      <c r="N95" s="28" t="inlineStr">
        <is>
          <t>Karnataka</t>
        </is>
      </c>
      <c r="O95" s="35" t="inlineStr">
        <is>
          <t>'560041</t>
        </is>
      </c>
      <c r="P95" s="28" t="inlineStr">
        <is>
          <t>Scarlet Soul - XXL</t>
        </is>
      </c>
      <c r="Q95" s="46" t="n">
        <v>0</v>
      </c>
      <c r="R95" s="28" t="inlineStr"/>
    </row>
    <row r="96">
      <c r="A96" s="32" t="n">
        <v>1175</v>
      </c>
      <c r="B96" s="32" t="inlineStr">
        <is>
          <t>#1175</t>
        </is>
      </c>
      <c r="C96" s="44" t="inlineStr">
        <is>
          <t>N Venkata Ramani</t>
        </is>
      </c>
      <c r="D96" s="32" t="inlineStr">
        <is>
          <t>2026-07-10</t>
        </is>
      </c>
      <c r="E96" s="45" t="n">
        <v>1112</v>
      </c>
      <c r="F96" s="32" t="inlineStr">
        <is>
          <t>paid</t>
        </is>
      </c>
      <c r="G96" s="32" t="inlineStr">
        <is>
          <t>fulfilled</t>
        </is>
      </c>
      <c r="H96" s="44" t="inlineStr">
        <is>
          <t>01 Cards, UPI, NB, Wallets by Razorpay</t>
        </is>
      </c>
      <c r="I96" s="32" t="inlineStr">
        <is>
          <t>prepaid</t>
        </is>
      </c>
      <c r="J96" s="32" t="inlineStr">
        <is>
          <t>Prepaid</t>
        </is>
      </c>
      <c r="K96" s="32" t="inlineStr">
        <is>
          <t>Delivered</t>
        </is>
      </c>
      <c r="L96" s="44" t="inlineStr">
        <is>
          <t>DELIVERED</t>
        </is>
      </c>
      <c r="M96" s="44" t="inlineStr">
        <is>
          <t>Vijayawada</t>
        </is>
      </c>
      <c r="N96" s="44" t="inlineStr">
        <is>
          <t>Andhra Pradesh</t>
        </is>
      </c>
      <c r="O96" s="32" t="inlineStr">
        <is>
          <t>'520008</t>
        </is>
      </c>
      <c r="P96" s="44" t="inlineStr">
        <is>
          <t>Geometric Glam - S</t>
        </is>
      </c>
      <c r="Q96" s="45" t="n">
        <v>0</v>
      </c>
      <c r="R96" s="44" t="inlineStr"/>
    </row>
    <row r="97">
      <c r="A97" s="35" t="n">
        <v>1176</v>
      </c>
      <c r="B97" s="35" t="inlineStr">
        <is>
          <t>#1176</t>
        </is>
      </c>
      <c r="C97" s="28" t="inlineStr">
        <is>
          <t>Manju</t>
        </is>
      </c>
      <c r="D97" s="35" t="inlineStr">
        <is>
          <t>2026-07-10</t>
        </is>
      </c>
      <c r="E97" s="46" t="n">
        <v>1112</v>
      </c>
      <c r="F97" s="35" t="inlineStr">
        <is>
          <t>paid</t>
        </is>
      </c>
      <c r="G97" s="35" t="inlineStr">
        <is>
          <t>fulfilled</t>
        </is>
      </c>
      <c r="H97" s="28" t="inlineStr">
        <is>
          <t>01 Cards, UPI, NB, Wallets by Razorpay</t>
        </is>
      </c>
      <c r="I97" s="35" t="inlineStr">
        <is>
          <t>prepaid</t>
        </is>
      </c>
      <c r="J97" s="35" t="inlineStr">
        <is>
          <t>Prepaid</t>
        </is>
      </c>
      <c r="K97" s="35" t="inlineStr">
        <is>
          <t>Delivered</t>
        </is>
      </c>
      <c r="L97" s="28" t="inlineStr">
        <is>
          <t>DELIVERED</t>
        </is>
      </c>
      <c r="M97" s="28" t="inlineStr">
        <is>
          <t>Thiruvananthapuram</t>
        </is>
      </c>
      <c r="N97" s="28" t="inlineStr">
        <is>
          <t>Kerala</t>
        </is>
      </c>
      <c r="O97" s="35" t="inlineStr">
        <is>
          <t>'695009</t>
        </is>
      </c>
      <c r="P97" s="28" t="inlineStr">
        <is>
          <t>Mauve Magnolia - XXL</t>
        </is>
      </c>
      <c r="Q97" s="46" t="n">
        <v>0</v>
      </c>
      <c r="R97" s="28" t="inlineStr"/>
    </row>
    <row r="98">
      <c r="A98" s="32" t="n">
        <v>1177</v>
      </c>
      <c r="B98" s="32" t="inlineStr">
        <is>
          <t>#1177</t>
        </is>
      </c>
      <c r="C98" s="44" t="inlineStr">
        <is>
          <t>Senthuri kumar</t>
        </is>
      </c>
      <c r="D98" s="32" t="inlineStr">
        <is>
          <t>2026-07-11</t>
        </is>
      </c>
      <c r="E98" s="45" t="n">
        <v>1112</v>
      </c>
      <c r="F98" s="32" t="inlineStr">
        <is>
          <t>paid</t>
        </is>
      </c>
      <c r="G98" s="32" t="inlineStr">
        <is>
          <t>fulfilled</t>
        </is>
      </c>
      <c r="H98" s="44" t="inlineStr">
        <is>
          <t>01 Cards, UPI, NB, Wallets by Razorpay</t>
        </is>
      </c>
      <c r="I98" s="32" t="inlineStr">
        <is>
          <t>prepaid</t>
        </is>
      </c>
      <c r="J98" s="32" t="inlineStr">
        <is>
          <t>Prepaid</t>
        </is>
      </c>
      <c r="K98" s="32" t="inlineStr">
        <is>
          <t>Delivered</t>
        </is>
      </c>
      <c r="L98" s="44" t="inlineStr">
        <is>
          <t>DELIVERED</t>
        </is>
      </c>
      <c r="M98" s="44" t="inlineStr">
        <is>
          <t>Chennai</t>
        </is>
      </c>
      <c r="N98" s="44" t="inlineStr">
        <is>
          <t>Tamil Nadu</t>
        </is>
      </c>
      <c r="O98" s="32" t="inlineStr">
        <is>
          <t>'600091</t>
        </is>
      </c>
      <c r="P98" s="44" t="inlineStr">
        <is>
          <t>Copper Bloom Top - XL</t>
        </is>
      </c>
      <c r="Q98" s="45" t="n">
        <v>0</v>
      </c>
      <c r="R98" s="44" t="inlineStr"/>
    </row>
    <row r="99">
      <c r="A99" s="35" t="n">
        <v>1178</v>
      </c>
      <c r="B99" s="35" t="inlineStr">
        <is>
          <t>#1178</t>
        </is>
      </c>
      <c r="C99" s="28" t="inlineStr">
        <is>
          <t>Gowsalya devi Sakthivel</t>
        </is>
      </c>
      <c r="D99" s="35" t="inlineStr">
        <is>
          <t>2026-07-11</t>
        </is>
      </c>
      <c r="E99" s="46" t="n">
        <v>1112</v>
      </c>
      <c r="F99" s="35" t="inlineStr">
        <is>
          <t>paid</t>
        </is>
      </c>
      <c r="G99" s="35" t="inlineStr">
        <is>
          <t>fulfilled</t>
        </is>
      </c>
      <c r="H99" s="28" t="inlineStr">
        <is>
          <t>01 Cards, UPI, NB, Wallets by Razorpay</t>
        </is>
      </c>
      <c r="I99" s="35" t="inlineStr">
        <is>
          <t>prepaid</t>
        </is>
      </c>
      <c r="J99" s="35" t="inlineStr">
        <is>
          <t>Prepaid</t>
        </is>
      </c>
      <c r="K99" s="35" t="inlineStr">
        <is>
          <t>Delivered</t>
        </is>
      </c>
      <c r="L99" s="28" t="inlineStr">
        <is>
          <t>DELIVERED</t>
        </is>
      </c>
      <c r="M99" s="28" t="inlineStr">
        <is>
          <t>Chennai</t>
        </is>
      </c>
      <c r="N99" s="28" t="inlineStr">
        <is>
          <t>Tamil Nadu</t>
        </is>
      </c>
      <c r="O99" s="35" t="inlineStr">
        <is>
          <t>'600100</t>
        </is>
      </c>
      <c r="P99" s="28" t="inlineStr">
        <is>
          <t>Daisy Dusk Yellow - XXL</t>
        </is>
      </c>
      <c r="Q99" s="46" t="n">
        <v>0</v>
      </c>
      <c r="R99" s="28" t="inlineStr"/>
    </row>
    <row r="100">
      <c r="A100" s="32" t="n">
        <v>1179</v>
      </c>
      <c r="B100" s="32" t="inlineStr">
        <is>
          <t>#1179</t>
        </is>
      </c>
      <c r="C100" s="44" t="inlineStr">
        <is>
          <t>Annie Sundararaj</t>
        </is>
      </c>
      <c r="D100" s="32" t="inlineStr">
        <is>
          <t>2026-07-11</t>
        </is>
      </c>
      <c r="E100" s="45" t="n">
        <v>2552</v>
      </c>
      <c r="F100" s="32" t="inlineStr">
        <is>
          <t>paid</t>
        </is>
      </c>
      <c r="G100" s="32" t="inlineStr">
        <is>
          <t>fulfilled</t>
        </is>
      </c>
      <c r="H100" s="44" t="inlineStr">
        <is>
          <t>01 Cards, UPI, NB, Wallets by Razorpay</t>
        </is>
      </c>
      <c r="I100" s="32" t="inlineStr">
        <is>
          <t>prepaid</t>
        </is>
      </c>
      <c r="J100" s="32" t="inlineStr">
        <is>
          <t>Prepaid</t>
        </is>
      </c>
      <c r="K100" s="32" t="inlineStr">
        <is>
          <t>Delivered</t>
        </is>
      </c>
      <c r="L100" s="44" t="inlineStr">
        <is>
          <t>DELIVERED</t>
        </is>
      </c>
      <c r="M100" s="44" t="inlineStr">
        <is>
          <t>Chennai</t>
        </is>
      </c>
      <c r="N100" s="44" t="inlineStr">
        <is>
          <t>Tamil Nadu</t>
        </is>
      </c>
      <c r="O100" s="32" t="inlineStr">
        <is>
          <t>'600010</t>
        </is>
      </c>
      <c r="P100" s="44" t="inlineStr">
        <is>
          <t>Raven Raaga Anarkali Dress - M</t>
        </is>
      </c>
      <c r="Q100" s="45" t="n">
        <v>0</v>
      </c>
      <c r="R100" s="44" t="inlineStr"/>
    </row>
    <row r="101">
      <c r="A101" s="35" t="n">
        <v>1180</v>
      </c>
      <c r="B101" s="35" t="inlineStr">
        <is>
          <t>#1180</t>
        </is>
      </c>
      <c r="C101" s="28" t="inlineStr">
        <is>
          <t>Chimalaprathap Pratap Reddy</t>
        </is>
      </c>
      <c r="D101" s="35" t="inlineStr">
        <is>
          <t>2026-07-12</t>
        </is>
      </c>
      <c r="E101" s="46" t="n">
        <v>1112</v>
      </c>
      <c r="F101" s="35" t="inlineStr">
        <is>
          <t>paid</t>
        </is>
      </c>
      <c r="G101" s="35" t="inlineStr">
        <is>
          <t>fulfilled</t>
        </is>
      </c>
      <c r="H101" s="28" t="inlineStr">
        <is>
          <t>01 Cards, UPI, NB, Wallets by Razorpay</t>
        </is>
      </c>
      <c r="I101" s="35" t="inlineStr">
        <is>
          <t>prepaid</t>
        </is>
      </c>
      <c r="J101" s="35" t="inlineStr">
        <is>
          <t>Prepaid</t>
        </is>
      </c>
      <c r="K101" s="35" t="inlineStr">
        <is>
          <t>Delivered</t>
        </is>
      </c>
      <c r="L101" s="28" t="inlineStr">
        <is>
          <t>DELIVERED</t>
        </is>
      </c>
      <c r="M101" s="28" t="inlineStr">
        <is>
          <t>Chittoor</t>
        </is>
      </c>
      <c r="N101" s="28" t="inlineStr">
        <is>
          <t>Andhra Pradesh</t>
        </is>
      </c>
      <c r="O101" s="35" t="inlineStr">
        <is>
          <t>'517127</t>
        </is>
      </c>
      <c r="P101" s="28" t="inlineStr">
        <is>
          <t>Gulastra - L</t>
        </is>
      </c>
      <c r="Q101" s="46" t="n">
        <v>0</v>
      </c>
      <c r="R101" s="28" t="inlineStr"/>
    </row>
    <row r="102">
      <c r="A102" s="32" t="n">
        <v>1181</v>
      </c>
      <c r="B102" s="32" t="inlineStr">
        <is>
          <t>#1181</t>
        </is>
      </c>
      <c r="C102" s="44" t="inlineStr">
        <is>
          <t>Dhanalakshmi Murugan</t>
        </is>
      </c>
      <c r="D102" s="32" t="inlineStr">
        <is>
          <t>2026-07-12</t>
        </is>
      </c>
      <c r="E102" s="45" t="n">
        <v>1032</v>
      </c>
      <c r="F102" s="32" t="inlineStr">
        <is>
          <t>paid</t>
        </is>
      </c>
      <c r="G102" s="32" t="inlineStr">
        <is>
          <t>fulfilled</t>
        </is>
      </c>
      <c r="H102" s="44" t="inlineStr">
        <is>
          <t>01 Cards, UPI, NB, Wallets by Razorpay</t>
        </is>
      </c>
      <c r="I102" s="32" t="inlineStr">
        <is>
          <t>prepaid</t>
        </is>
      </c>
      <c r="J102" s="32" t="inlineStr">
        <is>
          <t>Prepaid</t>
        </is>
      </c>
      <c r="K102" s="32" t="inlineStr">
        <is>
          <t>Delivered</t>
        </is>
      </c>
      <c r="L102" s="44" t="inlineStr">
        <is>
          <t>DELIVERED</t>
        </is>
      </c>
      <c r="M102" s="44" t="inlineStr">
        <is>
          <t>Pattukkottai</t>
        </is>
      </c>
      <c r="N102" s="44" t="inlineStr">
        <is>
          <t>Tamil Nadu</t>
        </is>
      </c>
      <c r="O102" s="32" t="inlineStr">
        <is>
          <t>'614601</t>
        </is>
      </c>
      <c r="P102" s="44" t="inlineStr">
        <is>
          <t>Purple Panache - XL</t>
        </is>
      </c>
      <c r="Q102" s="45" t="n">
        <v>0</v>
      </c>
      <c r="R102" s="44" t="inlineStr"/>
    </row>
    <row r="103">
      <c r="A103" s="35" t="n">
        <v>1182</v>
      </c>
      <c r="B103" s="35" t="inlineStr">
        <is>
          <t>#1182</t>
        </is>
      </c>
      <c r="C103" s="28" t="inlineStr">
        <is>
          <t>Ramakrishnan Nagaraj</t>
        </is>
      </c>
      <c r="D103" s="35" t="inlineStr">
        <is>
          <t>2026-07-12</t>
        </is>
      </c>
      <c r="E103" s="46" t="n">
        <v>1032</v>
      </c>
      <c r="F103" s="35" t="inlineStr">
        <is>
          <t>paid</t>
        </is>
      </c>
      <c r="G103" s="35" t="inlineStr">
        <is>
          <t>fulfilled</t>
        </is>
      </c>
      <c r="H103" s="28" t="inlineStr">
        <is>
          <t>01 Cards, UPI, NB, Wallets by Razorpay</t>
        </is>
      </c>
      <c r="I103" s="35" t="inlineStr">
        <is>
          <t>prepaid</t>
        </is>
      </c>
      <c r="J103" s="35" t="inlineStr">
        <is>
          <t>Prepaid</t>
        </is>
      </c>
      <c r="K103" s="35" t="inlineStr">
        <is>
          <t>Delivered</t>
        </is>
      </c>
      <c r="L103" s="28" t="inlineStr">
        <is>
          <t>DELIVERED</t>
        </is>
      </c>
      <c r="M103" s="28" t="inlineStr">
        <is>
          <t>Veppadai</t>
        </is>
      </c>
      <c r="N103" s="28" t="inlineStr">
        <is>
          <t>Tamil Nadu</t>
        </is>
      </c>
      <c r="O103" s="35" t="inlineStr">
        <is>
          <t>'638008</t>
        </is>
      </c>
      <c r="P103" s="28" t="inlineStr">
        <is>
          <t>Purple Panache - L</t>
        </is>
      </c>
      <c r="Q103" s="46" t="n">
        <v>0</v>
      </c>
      <c r="R103" s="28" t="inlineStr">
        <is>
          <t>Consignee unavailable</t>
        </is>
      </c>
    </row>
    <row r="104">
      <c r="A104" s="32" t="n">
        <v>1183</v>
      </c>
      <c r="B104" s="32" t="inlineStr">
        <is>
          <t>#1183</t>
        </is>
      </c>
      <c r="C104" s="44" t="inlineStr">
        <is>
          <t>Divya 1398 Anandan</t>
        </is>
      </c>
      <c r="D104" s="32" t="inlineStr">
        <is>
          <t>2026-07-12</t>
        </is>
      </c>
      <c r="E104" s="45" t="n">
        <v>1512</v>
      </c>
      <c r="F104" s="32" t="inlineStr">
        <is>
          <t>paid</t>
        </is>
      </c>
      <c r="G104" s="32" t="inlineStr">
        <is>
          <t>fulfilled</t>
        </is>
      </c>
      <c r="H104" s="44" t="inlineStr">
        <is>
          <t>01 Cards, UPI, NB, Wallets by Razorpay</t>
        </is>
      </c>
      <c r="I104" s="32" t="inlineStr">
        <is>
          <t>prepaid</t>
        </is>
      </c>
      <c r="J104" s="32" t="inlineStr">
        <is>
          <t>Prepaid</t>
        </is>
      </c>
      <c r="K104" s="32" t="inlineStr">
        <is>
          <t>Delivered</t>
        </is>
      </c>
      <c r="L104" s="44" t="inlineStr">
        <is>
          <t>DELIVERED</t>
        </is>
      </c>
      <c r="M104" s="44" t="inlineStr">
        <is>
          <t>Tenkasi</t>
        </is>
      </c>
      <c r="N104" s="44" t="inlineStr">
        <is>
          <t>Tamil Nadu</t>
        </is>
      </c>
      <c r="O104" s="32" t="inlineStr">
        <is>
          <t>'627814</t>
        </is>
      </c>
      <c r="P104" s="44" t="inlineStr">
        <is>
          <t>Rose Quartz Geometric - M</t>
        </is>
      </c>
      <c r="Q104" s="45" t="n">
        <v>0</v>
      </c>
      <c r="R104" s="44" t="inlineStr"/>
    </row>
    <row r="105">
      <c r="A105" s="35" t="n">
        <v>1184</v>
      </c>
      <c r="B105" s="35" t="inlineStr">
        <is>
          <t>#1184</t>
        </is>
      </c>
      <c r="C105" s="28" t="inlineStr">
        <is>
          <t>vishalini priya</t>
        </is>
      </c>
      <c r="D105" s="35" t="inlineStr">
        <is>
          <t>2026-07-12</t>
        </is>
      </c>
      <c r="E105" s="46" t="n">
        <v>1390</v>
      </c>
      <c r="F105" s="35" t="inlineStr">
        <is>
          <t>paid</t>
        </is>
      </c>
      <c r="G105" s="35" t="inlineStr">
        <is>
          <t>fulfilled</t>
        </is>
      </c>
      <c r="H105" s="28" t="inlineStr">
        <is>
          <t>01 Cards, UPI, NB, Wallets by Razorpay</t>
        </is>
      </c>
      <c r="I105" s="35" t="inlineStr">
        <is>
          <t>prepaid</t>
        </is>
      </c>
      <c r="J105" s="35" t="inlineStr">
        <is>
          <t>Prepaid</t>
        </is>
      </c>
      <c r="K105" s="35" t="inlineStr">
        <is>
          <t>Delivered</t>
        </is>
      </c>
      <c r="L105" s="28" t="inlineStr">
        <is>
          <t>DELIVERED</t>
        </is>
      </c>
      <c r="M105" s="28" t="inlineStr">
        <is>
          <t>Kanchipuram</t>
        </is>
      </c>
      <c r="N105" s="28" t="inlineStr">
        <is>
          <t>Tamil Nadu</t>
        </is>
      </c>
      <c r="O105" s="35" t="inlineStr">
        <is>
          <t>'600117</t>
        </is>
      </c>
      <c r="P105" s="28" t="inlineStr">
        <is>
          <t>Luminous Lagoon - 3XL</t>
        </is>
      </c>
      <c r="Q105" s="46" t="n">
        <v>0</v>
      </c>
      <c r="R105" s="28" t="inlineStr"/>
    </row>
    <row r="106">
      <c r="A106" s="32" t="n">
        <v>1185</v>
      </c>
      <c r="B106" s="32" t="inlineStr">
        <is>
          <t>#1185</t>
        </is>
      </c>
      <c r="C106" s="44" t="inlineStr">
        <is>
          <t>Balamurugan M</t>
        </is>
      </c>
      <c r="D106" s="32" t="inlineStr">
        <is>
          <t>2026-07-13</t>
        </is>
      </c>
      <c r="E106" s="45" t="n">
        <v>1112</v>
      </c>
      <c r="F106" s="32" t="inlineStr">
        <is>
          <t>paid</t>
        </is>
      </c>
      <c r="G106" s="32" t="inlineStr">
        <is>
          <t>fulfilled</t>
        </is>
      </c>
      <c r="H106" s="44" t="inlineStr">
        <is>
          <t>01 Cards, UPI, NB, Wallets by Razorpay</t>
        </is>
      </c>
      <c r="I106" s="32" t="inlineStr">
        <is>
          <t>prepaid</t>
        </is>
      </c>
      <c r="J106" s="32" t="inlineStr">
        <is>
          <t>Prepaid</t>
        </is>
      </c>
      <c r="K106" s="32" t="inlineStr">
        <is>
          <t>Delivered</t>
        </is>
      </c>
      <c r="L106" s="44" t="inlineStr">
        <is>
          <t>DELIVERED</t>
        </is>
      </c>
      <c r="M106" s="44" t="inlineStr">
        <is>
          <t>Pudukkottai</t>
        </is>
      </c>
      <c r="N106" s="44" t="inlineStr">
        <is>
          <t>Tamil Nadu</t>
        </is>
      </c>
      <c r="O106" s="32" t="inlineStr">
        <is>
          <t>'622001</t>
        </is>
      </c>
      <c r="P106" s="44" t="inlineStr">
        <is>
          <t>Tulip Tradition - S</t>
        </is>
      </c>
      <c r="Q106" s="45" t="n">
        <v>0</v>
      </c>
      <c r="R106" s="44" t="inlineStr"/>
    </row>
    <row r="107">
      <c r="A107" s="35" t="n">
        <v>1186</v>
      </c>
      <c r="B107" s="35" t="inlineStr">
        <is>
          <t>#1186</t>
        </is>
      </c>
      <c r="C107" s="28" t="inlineStr">
        <is>
          <t>Pankaj Thakur</t>
        </is>
      </c>
      <c r="D107" s="35" t="inlineStr">
        <is>
          <t>2026-07-13</t>
        </is>
      </c>
      <c r="E107" s="46" t="n">
        <v>1512</v>
      </c>
      <c r="F107" s="35" t="inlineStr">
        <is>
          <t>paid</t>
        </is>
      </c>
      <c r="G107" s="35" t="inlineStr">
        <is>
          <t>fulfilled</t>
        </is>
      </c>
      <c r="H107" s="28" t="inlineStr">
        <is>
          <t>01 Cards, UPI, NB, Wallets by Razorpay</t>
        </is>
      </c>
      <c r="I107" s="35" t="inlineStr">
        <is>
          <t>prepaid</t>
        </is>
      </c>
      <c r="J107" s="35" t="inlineStr">
        <is>
          <t>Prepaid</t>
        </is>
      </c>
      <c r="K107" s="35" t="inlineStr">
        <is>
          <t>Delivered</t>
        </is>
      </c>
      <c r="L107" s="28" t="inlineStr">
        <is>
          <t>DELIVERED</t>
        </is>
      </c>
      <c r="M107" s="28" t="inlineStr">
        <is>
          <t>Bilaspur  ( H.p.)</t>
        </is>
      </c>
      <c r="N107" s="28" t="inlineStr">
        <is>
          <t>Himachal Pradesh</t>
        </is>
      </c>
      <c r="O107" s="35" t="inlineStr">
        <is>
          <t>'174001</t>
        </is>
      </c>
      <c r="P107" s="28" t="inlineStr">
        <is>
          <t>Blossom Taupe Chic Set - M</t>
        </is>
      </c>
      <c r="Q107" s="46" t="n">
        <v>0</v>
      </c>
      <c r="R107" s="28" t="inlineStr"/>
    </row>
    <row r="108">
      <c r="A108" s="32" t="n">
        <v>1187</v>
      </c>
      <c r="B108" s="32" t="inlineStr">
        <is>
          <t>#1187</t>
        </is>
      </c>
      <c r="C108" s="44" t="inlineStr">
        <is>
          <t>Nivedha Magesh</t>
        </is>
      </c>
      <c r="D108" s="32" t="inlineStr">
        <is>
          <t>2026-07-13</t>
        </is>
      </c>
      <c r="E108" s="45" t="n">
        <v>3256</v>
      </c>
      <c r="F108" s="32" t="inlineStr">
        <is>
          <t>paid</t>
        </is>
      </c>
      <c r="G108" s="32" t="inlineStr">
        <is>
          <t>fulfilled</t>
        </is>
      </c>
      <c r="H108" s="44" t="inlineStr">
        <is>
          <t>01 Cards, UPI, NB, Wallets by Razorpay</t>
        </is>
      </c>
      <c r="I108" s="32" t="inlineStr">
        <is>
          <t>prepaid</t>
        </is>
      </c>
      <c r="J108" s="32" t="inlineStr">
        <is>
          <t>Prepaid</t>
        </is>
      </c>
      <c r="K108" s="32" t="inlineStr">
        <is>
          <t>Delivered</t>
        </is>
      </c>
      <c r="L108" s="44" t="inlineStr">
        <is>
          <t>DELIVERED</t>
        </is>
      </c>
      <c r="M108" s="44" t="inlineStr">
        <is>
          <t>Chennai</t>
        </is>
      </c>
      <c r="N108" s="44" t="inlineStr">
        <is>
          <t>Tamil Nadu</t>
        </is>
      </c>
      <c r="O108" s="32" t="inlineStr">
        <is>
          <t>'600117</t>
        </is>
      </c>
      <c r="P108" s="44" t="inlineStr">
        <is>
          <t>Grape Leaf Glam - S, Blush Chic Top - S, Plum Pinstripe - S</t>
        </is>
      </c>
      <c r="Q108" s="45" t="n">
        <v>0</v>
      </c>
      <c r="R108" s="44" t="inlineStr"/>
    </row>
    <row r="109">
      <c r="A109" s="35" t="n">
        <v>1188</v>
      </c>
      <c r="B109" s="35" t="inlineStr">
        <is>
          <t>#1188</t>
        </is>
      </c>
      <c r="C109" s="28" t="inlineStr">
        <is>
          <t>Srinija Yelamanchili</t>
        </is>
      </c>
      <c r="D109" s="35" t="inlineStr">
        <is>
          <t>2026-07-13</t>
        </is>
      </c>
      <c r="E109" s="46" t="n">
        <v>2144</v>
      </c>
      <c r="F109" s="35" t="inlineStr">
        <is>
          <t>paid</t>
        </is>
      </c>
      <c r="G109" s="35" t="inlineStr">
        <is>
          <t>fulfilled</t>
        </is>
      </c>
      <c r="H109" s="28" t="inlineStr">
        <is>
          <t>01 Cards, UPI, NB, Wallets by Razorpay</t>
        </is>
      </c>
      <c r="I109" s="35" t="inlineStr">
        <is>
          <t>prepaid</t>
        </is>
      </c>
      <c r="J109" s="35" t="inlineStr">
        <is>
          <t>Prepaid</t>
        </is>
      </c>
      <c r="K109" s="35" t="inlineStr">
        <is>
          <t>Delivered</t>
        </is>
      </c>
      <c r="L109" s="28" t="inlineStr">
        <is>
          <t>DELIVERED</t>
        </is>
      </c>
      <c r="M109" s="28" t="inlineStr">
        <is>
          <t>Hyderabad</t>
        </is>
      </c>
      <c r="N109" s="28" t="inlineStr">
        <is>
          <t>Telangana</t>
        </is>
      </c>
      <c r="O109" s="35" t="inlineStr">
        <is>
          <t>'500038</t>
        </is>
      </c>
      <c r="P109" s="28" t="inlineStr">
        <is>
          <t>Coral Bloom Top - 3XL, Plum Pinstripe - 3XL</t>
        </is>
      </c>
      <c r="Q109" s="46" t="n">
        <v>0</v>
      </c>
      <c r="R109" s="28" t="inlineStr"/>
    </row>
    <row r="110">
      <c r="A110" s="32" t="n">
        <v>1189</v>
      </c>
      <c r="B110" s="32" t="inlineStr">
        <is>
          <t>#1189</t>
        </is>
      </c>
      <c r="C110" s="44" t="inlineStr">
        <is>
          <t>Padma Sakthi</t>
        </is>
      </c>
      <c r="D110" s="32" t="inlineStr">
        <is>
          <t>2026-07-14</t>
        </is>
      </c>
      <c r="E110" s="45" t="n">
        <v>1032</v>
      </c>
      <c r="F110" s="32" t="inlineStr">
        <is>
          <t>paid</t>
        </is>
      </c>
      <c r="G110" s="32" t="inlineStr">
        <is>
          <t>fulfilled</t>
        </is>
      </c>
      <c r="H110" s="44" t="inlineStr">
        <is>
          <t>01 Cards, UPI, NB, Wallets by Razorpay</t>
        </is>
      </c>
      <c r="I110" s="32" t="inlineStr">
        <is>
          <t>prepaid</t>
        </is>
      </c>
      <c r="J110" s="32" t="inlineStr">
        <is>
          <t>Prepaid</t>
        </is>
      </c>
      <c r="K110" s="32" t="inlineStr">
        <is>
          <t>Delivered</t>
        </is>
      </c>
      <c r="L110" s="44" t="inlineStr">
        <is>
          <t>DELIVERED</t>
        </is>
      </c>
      <c r="M110" s="44" t="inlineStr">
        <is>
          <t>Vellimalai, Ammandivilai</t>
        </is>
      </c>
      <c r="N110" s="44" t="inlineStr">
        <is>
          <t>Tamil Nadu</t>
        </is>
      </c>
      <c r="O110" s="32" t="inlineStr">
        <is>
          <t>'629204</t>
        </is>
      </c>
      <c r="P110" s="44" t="inlineStr">
        <is>
          <t>Purple Panache - XL</t>
        </is>
      </c>
      <c r="Q110" s="45" t="n">
        <v>0</v>
      </c>
      <c r="R110" s="44" t="inlineStr"/>
    </row>
    <row r="111">
      <c r="A111" s="35" t="n">
        <v>1190</v>
      </c>
      <c r="B111" s="35" t="inlineStr">
        <is>
          <t>#1190</t>
        </is>
      </c>
      <c r="C111" s="28" t="inlineStr">
        <is>
          <t>Rajalakshmi P</t>
        </is>
      </c>
      <c r="D111" s="35" t="inlineStr">
        <is>
          <t>2026-07-15</t>
        </is>
      </c>
      <c r="E111" s="46" t="n">
        <v>1290</v>
      </c>
      <c r="F111" s="35" t="inlineStr">
        <is>
          <t>paid</t>
        </is>
      </c>
      <c r="G111" s="35" t="inlineStr">
        <is>
          <t>fulfilled</t>
        </is>
      </c>
      <c r="H111" s="28" t="inlineStr">
        <is>
          <t>01 Cards, UPI, NB, Wallets by Razorpay</t>
        </is>
      </c>
      <c r="I111" s="35" t="inlineStr">
        <is>
          <t>prepaid</t>
        </is>
      </c>
      <c r="J111" s="35" t="inlineStr">
        <is>
          <t>Prepaid</t>
        </is>
      </c>
      <c r="K111" s="35" t="inlineStr">
        <is>
          <t>Delivered</t>
        </is>
      </c>
      <c r="L111" s="28" t="inlineStr">
        <is>
          <t>DELIVERED</t>
        </is>
      </c>
      <c r="M111" s="28" t="inlineStr">
        <is>
          <t>Rajapalayam</t>
        </is>
      </c>
      <c r="N111" s="28" t="inlineStr">
        <is>
          <t>Tamil Nadu</t>
        </is>
      </c>
      <c r="O111" s="35" t="inlineStr">
        <is>
          <t>'626102</t>
        </is>
      </c>
      <c r="P111" s="28" t="inlineStr">
        <is>
          <t>Plum Pinstripe - XL</t>
        </is>
      </c>
      <c r="Q111" s="46" t="n">
        <v>0</v>
      </c>
      <c r="R111" s="28" t="inlineStr"/>
    </row>
    <row r="112">
      <c r="A112" s="32" t="n">
        <v>1191</v>
      </c>
      <c r="B112" s="32" t="inlineStr">
        <is>
          <t>#1191</t>
        </is>
      </c>
      <c r="C112" s="44" t="inlineStr">
        <is>
          <t>Srini K</t>
        </is>
      </c>
      <c r="D112" s="32" t="inlineStr">
        <is>
          <t>2026-07-15</t>
        </is>
      </c>
      <c r="E112" s="45" t="n">
        <v>1112</v>
      </c>
      <c r="F112" s="32" t="inlineStr">
        <is>
          <t>paid</t>
        </is>
      </c>
      <c r="G112" s="32" t="inlineStr">
        <is>
          <t>fulfilled</t>
        </is>
      </c>
      <c r="H112" s="44" t="inlineStr">
        <is>
          <t>01 Cards, UPI, NB, Wallets by Razorpay</t>
        </is>
      </c>
      <c r="I112" s="32" t="inlineStr">
        <is>
          <t>prepaid</t>
        </is>
      </c>
      <c r="J112" s="32" t="inlineStr">
        <is>
          <t>Prepaid</t>
        </is>
      </c>
      <c r="K112" s="32" t="inlineStr">
        <is>
          <t>Delivered</t>
        </is>
      </c>
      <c r="L112" s="44" t="inlineStr">
        <is>
          <t>DELIVERED</t>
        </is>
      </c>
      <c r="M112" s="44" t="inlineStr">
        <is>
          <t>Hyderabad</t>
        </is>
      </c>
      <c r="N112" s="44" t="inlineStr">
        <is>
          <t>Telangana</t>
        </is>
      </c>
      <c r="O112" s="32" t="inlineStr">
        <is>
          <t>'500090</t>
        </is>
      </c>
      <c r="P112" s="44" t="inlineStr">
        <is>
          <t>Geometric Glam - XXL</t>
        </is>
      </c>
      <c r="Q112" s="45" t="n">
        <v>0</v>
      </c>
      <c r="R112" s="44" t="inlineStr">
        <is>
          <t>Consignee unavailable</t>
        </is>
      </c>
    </row>
    <row r="113">
      <c r="A113" s="35" t="n">
        <v>1192</v>
      </c>
      <c r="B113" s="35" t="inlineStr">
        <is>
          <t>#1192</t>
        </is>
      </c>
      <c r="C113" s="28" t="inlineStr">
        <is>
          <t>Alekhya K</t>
        </is>
      </c>
      <c r="D113" s="35" t="inlineStr">
        <is>
          <t>2026-07-15</t>
        </is>
      </c>
      <c r="E113" s="46" t="n">
        <v>3336</v>
      </c>
      <c r="F113" s="35" t="inlineStr">
        <is>
          <t>paid</t>
        </is>
      </c>
      <c r="G113" s="35" t="inlineStr">
        <is>
          <t>fulfilled</t>
        </is>
      </c>
      <c r="H113" s="28" t="inlineStr">
        <is>
          <t>01 Cards, UPI, NB, Wallets by Razorpay</t>
        </is>
      </c>
      <c r="I113" s="35" t="inlineStr">
        <is>
          <t>prepaid</t>
        </is>
      </c>
      <c r="J113" s="35" t="inlineStr">
        <is>
          <t>Prepaid</t>
        </is>
      </c>
      <c r="K113" s="35" t="inlineStr">
        <is>
          <t>Delivered</t>
        </is>
      </c>
      <c r="L113" s="28" t="inlineStr">
        <is>
          <t>DELIVERED</t>
        </is>
      </c>
      <c r="M113" s="28" t="inlineStr">
        <is>
          <t>Hyderabad</t>
        </is>
      </c>
      <c r="N113" s="28" t="inlineStr">
        <is>
          <t>Telangana</t>
        </is>
      </c>
      <c r="O113" s="35" t="inlineStr">
        <is>
          <t>'500046</t>
        </is>
      </c>
      <c r="P113" s="28" t="inlineStr">
        <is>
          <t>Dusty Rose Diva - XXL, Daisy Dusk Yellow - 3XL, Gulastra - XXL</t>
        </is>
      </c>
      <c r="Q113" s="46" t="n">
        <v>0</v>
      </c>
      <c r="R113" s="28" t="inlineStr"/>
    </row>
    <row r="114">
      <c r="A114" s="32" t="n">
        <v>1193</v>
      </c>
      <c r="B114" s="32" t="inlineStr">
        <is>
          <t>#1193</t>
        </is>
      </c>
      <c r="C114" s="44" t="inlineStr">
        <is>
          <t>LAKSHMI MALLICK</t>
        </is>
      </c>
      <c r="D114" s="32" t="inlineStr">
        <is>
          <t>2026-07-16</t>
        </is>
      </c>
      <c r="E114" s="45" t="n">
        <v>5192</v>
      </c>
      <c r="F114" s="32" t="inlineStr">
        <is>
          <t>refunded</t>
        </is>
      </c>
      <c r="G114" s="32" t="inlineStr">
        <is>
          <t>unfulfilled</t>
        </is>
      </c>
      <c r="H114" s="44" t="inlineStr">
        <is>
          <t>01 Cards, UPI, NB, Wallets by Razorpay</t>
        </is>
      </c>
      <c r="I114" s="32" t="inlineStr">
        <is>
          <t>prepaid</t>
        </is>
      </c>
      <c r="J114" s="32" t="inlineStr">
        <is>
          <t>Prepaid</t>
        </is>
      </c>
      <c r="K114" s="32" t="inlineStr">
        <is>
          <t>Canceled</t>
        </is>
      </c>
      <c r="L114" s="44" t="inlineStr">
        <is>
          <t>CANCELED</t>
        </is>
      </c>
      <c r="M114" s="44" t="inlineStr">
        <is>
          <t>Durgapur</t>
        </is>
      </c>
      <c r="N114" s="44" t="inlineStr">
        <is>
          <t>West Bengal</t>
        </is>
      </c>
      <c r="O114" s="32" t="inlineStr">
        <is>
          <t>'713206</t>
        </is>
      </c>
      <c r="P114" s="44" t="inlineStr">
        <is>
          <t>Aurelia Mustard Long Gown</t>
        </is>
      </c>
      <c r="Q114" s="45" t="n">
        <v>5192</v>
      </c>
      <c r="R114" s="44" t="inlineStr"/>
    </row>
    <row r="115">
      <c r="A115" s="35" t="n">
        <v>1194</v>
      </c>
      <c r="B115" s="35" t="inlineStr">
        <is>
          <t>#1194</t>
        </is>
      </c>
      <c r="C115" s="28" t="inlineStr">
        <is>
          <t>PRABHA S</t>
        </is>
      </c>
      <c r="D115" s="35" t="inlineStr">
        <is>
          <t>2026-07-16</t>
        </is>
      </c>
      <c r="E115" s="46" t="n">
        <v>1512</v>
      </c>
      <c r="F115" s="35" t="inlineStr">
        <is>
          <t>paid</t>
        </is>
      </c>
      <c r="G115" s="35" t="inlineStr">
        <is>
          <t>fulfilled</t>
        </is>
      </c>
      <c r="H115" s="28" t="inlineStr">
        <is>
          <t>01 Cards, UPI, NB, Wallets by Razorpay</t>
        </is>
      </c>
      <c r="I115" s="35" t="inlineStr">
        <is>
          <t>prepaid</t>
        </is>
      </c>
      <c r="J115" s="35" t="inlineStr">
        <is>
          <t>Prepaid</t>
        </is>
      </c>
      <c r="K115" s="35" t="inlineStr">
        <is>
          <t>Delivered</t>
        </is>
      </c>
      <c r="L115" s="28" t="inlineStr">
        <is>
          <t>DELIVERED</t>
        </is>
      </c>
      <c r="M115" s="28" t="inlineStr">
        <is>
          <t>COIMBATORE</t>
        </is>
      </c>
      <c r="N115" s="28" t="inlineStr">
        <is>
          <t>Tamil Nadu</t>
        </is>
      </c>
      <c r="O115" s="35" t="inlineStr">
        <is>
          <t>'641015</t>
        </is>
      </c>
      <c r="P115" s="28" t="inlineStr">
        <is>
          <t>Rosy Mist - L</t>
        </is>
      </c>
      <c r="Q115" s="46" t="n">
        <v>0</v>
      </c>
      <c r="R115" s="28" t="inlineStr"/>
    </row>
    <row r="116">
      <c r="A116" s="32" t="n">
        <v>1195</v>
      </c>
      <c r="B116" s="32" t="inlineStr">
        <is>
          <t>#1195</t>
        </is>
      </c>
      <c r="C116" s="44" t="inlineStr">
        <is>
          <t>G Anitha Gorre</t>
        </is>
      </c>
      <c r="D116" s="32" t="inlineStr">
        <is>
          <t>2026-07-17</t>
        </is>
      </c>
      <c r="E116" s="45" t="n">
        <v>1112</v>
      </c>
      <c r="F116" s="32" t="inlineStr">
        <is>
          <t>paid</t>
        </is>
      </c>
      <c r="G116" s="32" t="inlineStr">
        <is>
          <t>fulfilled</t>
        </is>
      </c>
      <c r="H116" s="44" t="inlineStr">
        <is>
          <t>01 Cards, UPI, NB, Wallets by Razorpay</t>
        </is>
      </c>
      <c r="I116" s="32" t="inlineStr">
        <is>
          <t>prepaid</t>
        </is>
      </c>
      <c r="J116" s="32" t="inlineStr">
        <is>
          <t>Prepaid</t>
        </is>
      </c>
      <c r="K116" s="32" t="inlineStr">
        <is>
          <t>Delivered</t>
        </is>
      </c>
      <c r="L116" s="44" t="inlineStr">
        <is>
          <t>DELIVERED</t>
        </is>
      </c>
      <c r="M116" s="44" t="inlineStr">
        <is>
          <t>Suryapet</t>
        </is>
      </c>
      <c r="N116" s="44" t="inlineStr">
        <is>
          <t>Telangana</t>
        </is>
      </c>
      <c r="O116" s="32" t="inlineStr">
        <is>
          <t>'508213</t>
        </is>
      </c>
      <c r="P116" s="44" t="inlineStr">
        <is>
          <t>Daisy Dusk Yellow - M</t>
        </is>
      </c>
      <c r="Q116" s="45" t="n">
        <v>0</v>
      </c>
      <c r="R116" s="44" t="inlineStr"/>
    </row>
    <row r="117">
      <c r="A117" s="35" t="n">
        <v>1196</v>
      </c>
      <c r="B117" s="35" t="inlineStr">
        <is>
          <t>#1196</t>
        </is>
      </c>
      <c r="C117" s="28" t="inlineStr">
        <is>
          <t>T.sridevi Sridevi</t>
        </is>
      </c>
      <c r="D117" s="35" t="inlineStr">
        <is>
          <t>2026-07-17</t>
        </is>
      </c>
      <c r="E117" s="46" t="n">
        <v>4170</v>
      </c>
      <c r="F117" s="35" t="inlineStr">
        <is>
          <t>paid</t>
        </is>
      </c>
      <c r="G117" s="35" t="inlineStr">
        <is>
          <t>fulfilled</t>
        </is>
      </c>
      <c r="H117" s="28" t="inlineStr">
        <is>
          <t>01 Cards, UPI, NB, Wallets by Razorpay</t>
        </is>
      </c>
      <c r="I117" s="35" t="inlineStr">
        <is>
          <t>prepaid</t>
        </is>
      </c>
      <c r="J117" s="35" t="inlineStr">
        <is>
          <t>Prepaid</t>
        </is>
      </c>
      <c r="K117" s="35" t="inlineStr">
        <is>
          <t>Delivered</t>
        </is>
      </c>
      <c r="L117" s="28" t="inlineStr">
        <is>
          <t>DELIVERED</t>
        </is>
      </c>
      <c r="M117" s="28" t="inlineStr">
        <is>
          <t>Hyderabad</t>
        </is>
      </c>
      <c r="N117" s="28" t="inlineStr">
        <is>
          <t>Telangana</t>
        </is>
      </c>
      <c r="O117" s="35" t="inlineStr">
        <is>
          <t>'500038</t>
        </is>
      </c>
      <c r="P117" s="28" t="inlineStr">
        <is>
          <t>Rose Charm Top - M, Ocean Elegance Top - M, Geometric Glam - M</t>
        </is>
      </c>
      <c r="Q117" s="46" t="n">
        <v>0</v>
      </c>
      <c r="R117" s="28" t="inlineStr"/>
    </row>
    <row r="118">
      <c r="A118" s="32" t="n">
        <v>1197</v>
      </c>
      <c r="B118" s="32" t="inlineStr">
        <is>
          <t>#1197</t>
        </is>
      </c>
      <c r="C118" s="44" t="inlineStr">
        <is>
          <t>Padmavathi Umapathy</t>
        </is>
      </c>
      <c r="D118" s="32" t="inlineStr">
        <is>
          <t>2026-07-17</t>
        </is>
      </c>
      <c r="E118" s="45" t="n">
        <v>1112</v>
      </c>
      <c r="F118" s="32" t="inlineStr">
        <is>
          <t>paid</t>
        </is>
      </c>
      <c r="G118" s="32" t="inlineStr">
        <is>
          <t>fulfilled</t>
        </is>
      </c>
      <c r="H118" s="44" t="inlineStr">
        <is>
          <t>01 Cards, UPI, NB, Wallets by Razorpay</t>
        </is>
      </c>
      <c r="I118" s="32" t="inlineStr">
        <is>
          <t>prepaid</t>
        </is>
      </c>
      <c r="J118" s="32" t="inlineStr">
        <is>
          <t>Prepaid</t>
        </is>
      </c>
      <c r="K118" s="32" t="inlineStr">
        <is>
          <t>Delivered</t>
        </is>
      </c>
      <c r="L118" s="44" t="inlineStr">
        <is>
          <t>DELIVERED</t>
        </is>
      </c>
      <c r="M118" s="44" t="inlineStr">
        <is>
          <t>Chennai</t>
        </is>
      </c>
      <c r="N118" s="44" t="inlineStr">
        <is>
          <t>Tamil Nadu</t>
        </is>
      </c>
      <c r="O118" s="32" t="inlineStr">
        <is>
          <t>'600052</t>
        </is>
      </c>
      <c r="P118" s="44" t="inlineStr">
        <is>
          <t>Peach Elegance Top - L</t>
        </is>
      </c>
      <c r="Q118" s="45" t="n">
        <v>0</v>
      </c>
      <c r="R118" s="44" t="inlineStr">
        <is>
          <t>Consignee unavailable</t>
        </is>
      </c>
    </row>
    <row r="119">
      <c r="A119" s="35" t="n">
        <v>1198</v>
      </c>
      <c r="B119" s="35" t="inlineStr">
        <is>
          <t>#1198</t>
        </is>
      </c>
      <c r="C119" s="28" t="inlineStr">
        <is>
          <t>Swathi jogunoori</t>
        </is>
      </c>
      <c r="D119" s="35" t="inlineStr">
        <is>
          <t>2026-07-17</t>
        </is>
      </c>
      <c r="E119" s="46" t="n">
        <v>3112</v>
      </c>
      <c r="F119" s="35" t="inlineStr">
        <is>
          <t>paid</t>
        </is>
      </c>
      <c r="G119" s="35" t="inlineStr">
        <is>
          <t>fulfilled</t>
        </is>
      </c>
      <c r="H119" s="28" t="inlineStr">
        <is>
          <t>01 Cards, UPI, NB, Wallets by Razorpay</t>
        </is>
      </c>
      <c r="I119" s="35" t="inlineStr">
        <is>
          <t>prepaid</t>
        </is>
      </c>
      <c r="J119" s="35" t="inlineStr">
        <is>
          <t>Prepaid</t>
        </is>
      </c>
      <c r="K119" s="35" t="inlineStr">
        <is>
          <t>Delivered</t>
        </is>
      </c>
      <c r="L119" s="28" t="inlineStr">
        <is>
          <t>DELIVERED</t>
        </is>
      </c>
      <c r="M119" s="28" t="inlineStr">
        <is>
          <t>Ranga Reddy</t>
        </is>
      </c>
      <c r="N119" s="28" t="inlineStr">
        <is>
          <t>Telangana</t>
        </is>
      </c>
      <c r="O119" s="35" t="inlineStr">
        <is>
          <t>'500019</t>
        </is>
      </c>
      <c r="P119" s="28" t="inlineStr">
        <is>
          <t>Indraneela Anarkali Dress - L</t>
        </is>
      </c>
      <c r="Q119" s="46" t="n">
        <v>0</v>
      </c>
      <c r="R119" s="28" t="inlineStr"/>
    </row>
    <row r="120">
      <c r="A120" s="32" t="n">
        <v>1199</v>
      </c>
      <c r="B120" s="32" t="inlineStr">
        <is>
          <t>#1199</t>
        </is>
      </c>
      <c r="C120" s="44" t="inlineStr">
        <is>
          <t>Vidya Pavan Pavan</t>
        </is>
      </c>
      <c r="D120" s="32" t="inlineStr">
        <is>
          <t>2026-07-17</t>
        </is>
      </c>
      <c r="E120" s="45" t="n">
        <v>1032</v>
      </c>
      <c r="F120" s="32" t="inlineStr">
        <is>
          <t>paid</t>
        </is>
      </c>
      <c r="G120" s="32" t="inlineStr">
        <is>
          <t>fulfilled</t>
        </is>
      </c>
      <c r="H120" s="44" t="inlineStr">
        <is>
          <t>01 Cards, UPI, NB, Wallets by Razorpay</t>
        </is>
      </c>
      <c r="I120" s="32" t="inlineStr">
        <is>
          <t>prepaid</t>
        </is>
      </c>
      <c r="J120" s="32" t="inlineStr">
        <is>
          <t>Prepaid</t>
        </is>
      </c>
      <c r="K120" s="32" t="inlineStr">
        <is>
          <t>Delivered</t>
        </is>
      </c>
      <c r="L120" s="44" t="inlineStr">
        <is>
          <t>DELIVERED</t>
        </is>
      </c>
      <c r="M120" s="44" t="inlineStr">
        <is>
          <t>Hyderabad</t>
        </is>
      </c>
      <c r="N120" s="44" t="inlineStr">
        <is>
          <t>Telangana</t>
        </is>
      </c>
      <c r="O120" s="32" t="inlineStr">
        <is>
          <t>'500084</t>
        </is>
      </c>
      <c r="P120" s="44" t="inlineStr">
        <is>
          <t>Purple Panache - 2XL</t>
        </is>
      </c>
      <c r="Q120" s="45" t="n">
        <v>0</v>
      </c>
      <c r="R120" s="44" t="inlineStr"/>
    </row>
    <row r="121">
      <c r="A121" s="35" t="n">
        <v>1200</v>
      </c>
      <c r="B121" s="35" t="inlineStr">
        <is>
          <t>#1200</t>
        </is>
      </c>
      <c r="C121" s="28" t="inlineStr">
        <is>
          <t>SIVARANJANI R</t>
        </is>
      </c>
      <c r="D121" s="35" t="inlineStr">
        <is>
          <t>2026-07-18</t>
        </is>
      </c>
      <c r="E121" s="46" t="n">
        <v>2144</v>
      </c>
      <c r="F121" s="35" t="inlineStr">
        <is>
          <t>paid</t>
        </is>
      </c>
      <c r="G121" s="35" t="inlineStr">
        <is>
          <t>fulfilled</t>
        </is>
      </c>
      <c r="H121" s="28" t="inlineStr">
        <is>
          <t>01 Cards, UPI, NB, Wallets by Razorpay</t>
        </is>
      </c>
      <c r="I121" s="35" t="inlineStr">
        <is>
          <t>prepaid</t>
        </is>
      </c>
      <c r="J121" s="35" t="inlineStr">
        <is>
          <t>Prepaid</t>
        </is>
      </c>
      <c r="K121" s="35" t="inlineStr">
        <is>
          <t>Delivered</t>
        </is>
      </c>
      <c r="L121" s="28" t="inlineStr">
        <is>
          <t>DELIVERED</t>
        </is>
      </c>
      <c r="M121" s="28" t="inlineStr">
        <is>
          <t>Pudukottai</t>
        </is>
      </c>
      <c r="N121" s="28" t="inlineStr">
        <is>
          <t>Tamil Nadu</t>
        </is>
      </c>
      <c r="O121" s="35" t="inlineStr">
        <is>
          <t>'622003</t>
        </is>
      </c>
      <c r="P121" s="28" t="inlineStr">
        <is>
          <t>Plum Pinstripe - 3XL, Sapphire Charm Top - 3XL</t>
        </is>
      </c>
      <c r="Q121" s="46" t="n">
        <v>0</v>
      </c>
      <c r="R121" s="28" t="inlineStr"/>
    </row>
    <row r="122">
      <c r="A122" s="32" t="n">
        <v>1201</v>
      </c>
      <c r="B122" s="32" t="inlineStr">
        <is>
          <t>#1201</t>
        </is>
      </c>
      <c r="C122" s="44" t="inlineStr">
        <is>
          <t>Sagar reddy Reddy</t>
        </is>
      </c>
      <c r="D122" s="32" t="inlineStr">
        <is>
          <t>2026-07-18</t>
        </is>
      </c>
      <c r="E122" s="45" t="n">
        <v>1112</v>
      </c>
      <c r="F122" s="32" t="inlineStr">
        <is>
          <t>paid</t>
        </is>
      </c>
      <c r="G122" s="32" t="inlineStr">
        <is>
          <t>fulfilled</t>
        </is>
      </c>
      <c r="H122" s="44" t="inlineStr">
        <is>
          <t>01 Cards, UPI, NB, Wallets by Razorpay</t>
        </is>
      </c>
      <c r="I122" s="32" t="inlineStr">
        <is>
          <t>prepaid</t>
        </is>
      </c>
      <c r="J122" s="32" t="inlineStr">
        <is>
          <t>Prepaid</t>
        </is>
      </c>
      <c r="K122" s="32" t="inlineStr">
        <is>
          <t>Delivered</t>
        </is>
      </c>
      <c r="L122" s="44" t="inlineStr">
        <is>
          <t>DELIVERED</t>
        </is>
      </c>
      <c r="M122" s="44" t="inlineStr">
        <is>
          <t>Bangalore</t>
        </is>
      </c>
      <c r="N122" s="44" t="inlineStr">
        <is>
          <t>Karnataka</t>
        </is>
      </c>
      <c r="O122" s="32" t="inlineStr">
        <is>
          <t>'560076</t>
        </is>
      </c>
      <c r="P122" s="44" t="inlineStr">
        <is>
          <t>Forest Aura Top - M</t>
        </is>
      </c>
      <c r="Q122" s="45" t="n">
        <v>0</v>
      </c>
      <c r="R122" s="44" t="inlineStr"/>
    </row>
    <row r="123">
      <c r="A123" s="35" t="n">
        <v>1202</v>
      </c>
      <c r="B123" s="35" t="inlineStr">
        <is>
          <t>#1202</t>
        </is>
      </c>
      <c r="C123" s="28" t="inlineStr">
        <is>
          <t>Anitha Chakkaravarthi</t>
        </is>
      </c>
      <c r="D123" s="35" t="inlineStr">
        <is>
          <t>2026-07-19</t>
        </is>
      </c>
      <c r="E123" s="46" t="n">
        <v>1032</v>
      </c>
      <c r="F123" s="35" t="inlineStr">
        <is>
          <t>paid</t>
        </is>
      </c>
      <c r="G123" s="35" t="inlineStr">
        <is>
          <t>fulfilled</t>
        </is>
      </c>
      <c r="H123" s="28" t="inlineStr">
        <is>
          <t>01 Cards, UPI, NB, Wallets by Razorpay</t>
        </is>
      </c>
      <c r="I123" s="35" t="inlineStr">
        <is>
          <t>prepaid</t>
        </is>
      </c>
      <c r="J123" s="35" t="inlineStr">
        <is>
          <t>Prepaid</t>
        </is>
      </c>
      <c r="K123" s="35" t="inlineStr">
        <is>
          <t>Delivered</t>
        </is>
      </c>
      <c r="L123" s="28" t="inlineStr">
        <is>
          <t>DELIVERED</t>
        </is>
      </c>
      <c r="M123" s="28" t="inlineStr">
        <is>
          <t>Thanjavur</t>
        </is>
      </c>
      <c r="N123" s="28" t="inlineStr">
        <is>
          <t>Tamil Nadu</t>
        </is>
      </c>
      <c r="O123" s="35" t="inlineStr">
        <is>
          <t>'613010</t>
        </is>
      </c>
      <c r="P123" s="28" t="inlineStr">
        <is>
          <t>Plum Pinstripe - M</t>
        </is>
      </c>
      <c r="Q123" s="46" t="n">
        <v>0</v>
      </c>
      <c r="R123" s="28" t="inlineStr"/>
    </row>
    <row r="124">
      <c r="A124" s="32" t="n">
        <v>1203</v>
      </c>
      <c r="B124" s="32" t="inlineStr">
        <is>
          <t>#1203</t>
        </is>
      </c>
      <c r="C124" s="44" t="inlineStr">
        <is>
          <t>Parthiban Marimuthu</t>
        </is>
      </c>
      <c r="D124" s="32" t="inlineStr">
        <is>
          <t>2026-07-19</t>
        </is>
      </c>
      <c r="E124" s="45" t="n">
        <v>3336</v>
      </c>
      <c r="F124" s="32" t="inlineStr">
        <is>
          <t>paid</t>
        </is>
      </c>
      <c r="G124" s="32" t="inlineStr">
        <is>
          <t>fulfilled</t>
        </is>
      </c>
      <c r="H124" s="44" t="inlineStr">
        <is>
          <t>01 Cards, UPI, NB, Wallets by Razorpay</t>
        </is>
      </c>
      <c r="I124" s="32" t="inlineStr">
        <is>
          <t>prepaid</t>
        </is>
      </c>
      <c r="J124" s="32" t="inlineStr">
        <is>
          <t>Prepaid</t>
        </is>
      </c>
      <c r="K124" s="32" t="inlineStr">
        <is>
          <t>Delivered</t>
        </is>
      </c>
      <c r="L124" s="44" t="inlineStr">
        <is>
          <t>DELIVERED</t>
        </is>
      </c>
      <c r="M124" s="44" t="inlineStr">
        <is>
          <t>Chennai</t>
        </is>
      </c>
      <c r="N124" s="44" t="inlineStr">
        <is>
          <t>Tamil Nadu</t>
        </is>
      </c>
      <c r="O124" s="32" t="inlineStr">
        <is>
          <t>'600043</t>
        </is>
      </c>
      <c r="P124" s="44" t="inlineStr">
        <is>
          <t>Daisy Dusk Yellow - S, Geometric Glam - L, Royal Teal Top - L</t>
        </is>
      </c>
      <c r="Q124" s="45" t="n">
        <v>0</v>
      </c>
      <c r="R124" s="44" t="inlineStr"/>
    </row>
    <row r="125">
      <c r="A125" s="35" t="n">
        <v>1204</v>
      </c>
      <c r="B125" s="35" t="inlineStr">
        <is>
          <t>#1204</t>
        </is>
      </c>
      <c r="C125" s="28" t="inlineStr">
        <is>
          <t>Devi bala</t>
        </is>
      </c>
      <c r="D125" s="35" t="inlineStr">
        <is>
          <t>2026-07-19</t>
        </is>
      </c>
      <c r="E125" s="46" t="n">
        <v>1112</v>
      </c>
      <c r="F125" s="35" t="inlineStr">
        <is>
          <t>paid</t>
        </is>
      </c>
      <c r="G125" s="35" t="inlineStr">
        <is>
          <t>fulfilled</t>
        </is>
      </c>
      <c r="H125" s="28" t="inlineStr">
        <is>
          <t>01 Cards, UPI, NB, Wallets by Razorpay</t>
        </is>
      </c>
      <c r="I125" s="35" t="inlineStr">
        <is>
          <t>prepaid</t>
        </is>
      </c>
      <c r="J125" s="35" t="inlineStr">
        <is>
          <t>Prepaid</t>
        </is>
      </c>
      <c r="K125" s="35" t="inlineStr">
        <is>
          <t>Delivered</t>
        </is>
      </c>
      <c r="L125" s="28" t="inlineStr">
        <is>
          <t>DELIVERED</t>
        </is>
      </c>
      <c r="M125" s="28" t="inlineStr">
        <is>
          <t>Vellore</t>
        </is>
      </c>
      <c r="N125" s="28" t="inlineStr">
        <is>
          <t>Tamil Nadu</t>
        </is>
      </c>
      <c r="O125" s="35" t="inlineStr">
        <is>
          <t>'632519</t>
        </is>
      </c>
      <c r="P125" s="28" t="inlineStr">
        <is>
          <t>Geometric Glam - M</t>
        </is>
      </c>
      <c r="Q125" s="46" t="n">
        <v>0</v>
      </c>
      <c r="R125" s="28" t="inlineStr"/>
    </row>
    <row r="126">
      <c r="A126" s="32" t="n">
        <v>1205</v>
      </c>
      <c r="B126" s="32" t="inlineStr">
        <is>
          <t>#1205</t>
        </is>
      </c>
      <c r="C126" s="44" t="inlineStr">
        <is>
          <t>DATLA ARUNA</t>
        </is>
      </c>
      <c r="D126" s="32" t="inlineStr">
        <is>
          <t>2026-07-19</t>
        </is>
      </c>
      <c r="E126" s="45" t="n">
        <v>1112</v>
      </c>
      <c r="F126" s="32" t="inlineStr">
        <is>
          <t>paid</t>
        </is>
      </c>
      <c r="G126" s="32" t="inlineStr">
        <is>
          <t>fulfilled</t>
        </is>
      </c>
      <c r="H126" s="44" t="inlineStr">
        <is>
          <t>01 Cards, UPI, NB, Wallets by Razorpay</t>
        </is>
      </c>
      <c r="I126" s="32" t="inlineStr">
        <is>
          <t>prepaid</t>
        </is>
      </c>
      <c r="J126" s="32" t="inlineStr">
        <is>
          <t>Prepaid</t>
        </is>
      </c>
      <c r="K126" s="32" t="inlineStr">
        <is>
          <t>Delivered</t>
        </is>
      </c>
      <c r="L126" s="44" t="inlineStr">
        <is>
          <t>DELIVERED</t>
        </is>
      </c>
      <c r="M126" s="44" t="inlineStr">
        <is>
          <t>Rajahmundry</t>
        </is>
      </c>
      <c r="N126" s="44" t="inlineStr">
        <is>
          <t>Andhra Pradesh</t>
        </is>
      </c>
      <c r="O126" s="32" t="inlineStr">
        <is>
          <t>'533101</t>
        </is>
      </c>
      <c r="P126" s="44" t="inlineStr">
        <is>
          <t>Daisy Dusk Yellow - XXL</t>
        </is>
      </c>
      <c r="Q126" s="45" t="n">
        <v>0</v>
      </c>
      <c r="R126" s="44" t="inlineStr"/>
    </row>
    <row r="127">
      <c r="A127" s="35" t="n">
        <v>1206</v>
      </c>
      <c r="B127" s="35" t="inlineStr">
        <is>
          <t>#1206</t>
        </is>
      </c>
      <c r="C127" s="28" t="inlineStr">
        <is>
          <t>Pallavi Dhuri</t>
        </is>
      </c>
      <c r="D127" s="35" t="inlineStr">
        <is>
          <t>2026-07-19</t>
        </is>
      </c>
      <c r="E127" s="46" t="n">
        <v>4080</v>
      </c>
      <c r="F127" s="35" t="inlineStr">
        <is>
          <t>paid</t>
        </is>
      </c>
      <c r="G127" s="35" t="inlineStr">
        <is>
          <t>fulfilled</t>
        </is>
      </c>
      <c r="H127" s="28" t="inlineStr">
        <is>
          <t>01 Cards, UPI, NB, Wallets by Razorpay</t>
        </is>
      </c>
      <c r="I127" s="35" t="inlineStr">
        <is>
          <t>prepaid</t>
        </is>
      </c>
      <c r="J127" s="35" t="inlineStr">
        <is>
          <t>Prepaid</t>
        </is>
      </c>
      <c r="K127" s="35" t="inlineStr">
        <is>
          <t>Delivered</t>
        </is>
      </c>
      <c r="L127" s="28" t="inlineStr">
        <is>
          <t>DELIVERED</t>
        </is>
      </c>
      <c r="M127" s="28" t="inlineStr">
        <is>
          <t>Mapusa</t>
        </is>
      </c>
      <c r="N127" s="28" t="inlineStr">
        <is>
          <t>Goa</t>
        </is>
      </c>
      <c r="O127" s="35" t="inlineStr">
        <is>
          <t>'403507</t>
        </is>
      </c>
      <c r="P127" s="28" t="inlineStr">
        <is>
          <t>Midnight Galaxy Batik - M, Karunguyil Chudidhar Set - M</t>
        </is>
      </c>
      <c r="Q127" s="46" t="n">
        <v>0</v>
      </c>
      <c r="R127" s="28" t="inlineStr"/>
    </row>
    <row r="128">
      <c r="A128" s="32" t="n">
        <v>1207</v>
      </c>
      <c r="B128" s="32" t="inlineStr">
        <is>
          <t>#1207</t>
        </is>
      </c>
      <c r="C128" s="44" t="inlineStr">
        <is>
          <t>Harini chilamathuru</t>
        </is>
      </c>
      <c r="D128" s="32" t="inlineStr">
        <is>
          <t>2026-07-19</t>
        </is>
      </c>
      <c r="E128" s="45" t="n">
        <v>3336</v>
      </c>
      <c r="F128" s="32" t="inlineStr">
        <is>
          <t>paid</t>
        </is>
      </c>
      <c r="G128" s="32" t="inlineStr">
        <is>
          <t>fulfilled</t>
        </is>
      </c>
      <c r="H128" s="44" t="inlineStr">
        <is>
          <t>01 Cards, UPI, NB, Wallets by Razorpay</t>
        </is>
      </c>
      <c r="I128" s="32" t="inlineStr">
        <is>
          <t>prepaid</t>
        </is>
      </c>
      <c r="J128" s="32" t="inlineStr">
        <is>
          <t>Prepaid</t>
        </is>
      </c>
      <c r="K128" s="32" t="inlineStr">
        <is>
          <t>Delivered</t>
        </is>
      </c>
      <c r="L128" s="44" t="inlineStr">
        <is>
          <t>DELIVERED</t>
        </is>
      </c>
      <c r="M128" s="44" t="inlineStr">
        <is>
          <t>Nellore</t>
        </is>
      </c>
      <c r="N128" s="44" t="inlineStr">
        <is>
          <t>Andhra Pradesh</t>
        </is>
      </c>
      <c r="O128" s="32" t="inlineStr">
        <is>
          <t>'524127</t>
        </is>
      </c>
      <c r="P128" s="44" t="inlineStr">
        <is>
          <t>Geometric Glam - XL, Dahlia Dusk - XL, Stardust Flora - XL</t>
        </is>
      </c>
      <c r="Q128" s="45" t="n">
        <v>0</v>
      </c>
      <c r="R128" s="44" t="inlineStr"/>
    </row>
    <row r="129">
      <c r="A129" s="35" t="n">
        <v>1208</v>
      </c>
      <c r="B129" s="35" t="inlineStr">
        <is>
          <t>#1208</t>
        </is>
      </c>
      <c r="C129" s="28" t="inlineStr">
        <is>
          <t>Kasthuri V</t>
        </is>
      </c>
      <c r="D129" s="35" t="inlineStr">
        <is>
          <t>2026-07-20</t>
        </is>
      </c>
      <c r="E129" s="46" t="n">
        <v>1112</v>
      </c>
      <c r="F129" s="35" t="inlineStr">
        <is>
          <t>paid</t>
        </is>
      </c>
      <c r="G129" s="35" t="inlineStr">
        <is>
          <t>fulfilled</t>
        </is>
      </c>
      <c r="H129" s="28" t="inlineStr">
        <is>
          <t>01 Cards, UPI, NB, Wallets by Razorpay</t>
        </is>
      </c>
      <c r="I129" s="35" t="inlineStr">
        <is>
          <t>prepaid</t>
        </is>
      </c>
      <c r="J129" s="35" t="inlineStr">
        <is>
          <t>Prepaid</t>
        </is>
      </c>
      <c r="K129" s="35" t="inlineStr">
        <is>
          <t>Delivered</t>
        </is>
      </c>
      <c r="L129" s="28" t="inlineStr">
        <is>
          <t>DELIVERED</t>
        </is>
      </c>
      <c r="M129" s="28" t="inlineStr">
        <is>
          <t>Salem</t>
        </is>
      </c>
      <c r="N129" s="28" t="inlineStr">
        <is>
          <t>Tamil Nadu</t>
        </is>
      </c>
      <c r="O129" s="35" t="inlineStr">
        <is>
          <t>'636201</t>
        </is>
      </c>
      <c r="P129" s="28" t="inlineStr">
        <is>
          <t>Wine Blossom Top - 2XL</t>
        </is>
      </c>
      <c r="Q129" s="46" t="n">
        <v>0</v>
      </c>
      <c r="R129" s="28" t="inlineStr"/>
    </row>
    <row r="130">
      <c r="A130" s="32" t="n">
        <v>1209</v>
      </c>
      <c r="B130" s="32" t="inlineStr">
        <is>
          <t>#1209</t>
        </is>
      </c>
      <c r="C130" s="44" t="inlineStr">
        <is>
          <t>Kavya ravuru</t>
        </is>
      </c>
      <c r="D130" s="32" t="inlineStr">
        <is>
          <t>2026-07-20</t>
        </is>
      </c>
      <c r="E130" s="45" t="n">
        <v>3112</v>
      </c>
      <c r="F130" s="32" t="inlineStr">
        <is>
          <t>pending</t>
        </is>
      </c>
      <c r="G130" s="32" t="inlineStr">
        <is>
          <t>fulfilled</t>
        </is>
      </c>
      <c r="H130" s="44" t="inlineStr">
        <is>
          <t>Cash on Delivery (COD)</t>
        </is>
      </c>
      <c r="I130" s="32" t="inlineStr">
        <is>
          <t>cod</t>
        </is>
      </c>
      <c r="J130" s="32" t="inlineStr">
        <is>
          <t>COD</t>
        </is>
      </c>
      <c r="K130" s="32" t="inlineStr">
        <is>
          <t>In Transit</t>
        </is>
      </c>
      <c r="L130" s="44" t="inlineStr">
        <is>
          <t>IN TRANSIT</t>
        </is>
      </c>
      <c r="M130" s="44" t="inlineStr">
        <is>
          <t>Kondikandukur</t>
        </is>
      </c>
      <c r="N130" s="44" t="inlineStr">
        <is>
          <t>Andhra Pradesh</t>
        </is>
      </c>
      <c r="O130" s="32" t="inlineStr">
        <is>
          <t>'523105</t>
        </is>
      </c>
      <c r="P130" s="44" t="inlineStr">
        <is>
          <t>Indraneela Anarkali Dress - XL</t>
        </is>
      </c>
      <c r="Q130" s="45" t="n">
        <v>0</v>
      </c>
      <c r="R130" s="44" t="inlineStr"/>
    </row>
    <row r="131">
      <c r="A131" s="35" t="n">
        <v>1210</v>
      </c>
      <c r="B131" s="35" t="inlineStr">
        <is>
          <t>#1210</t>
        </is>
      </c>
      <c r="C131" s="28" t="inlineStr">
        <is>
          <t>Anbukavinmugil C</t>
        </is>
      </c>
      <c r="D131" s="35" t="inlineStr">
        <is>
          <t>2026-07-20</t>
        </is>
      </c>
      <c r="E131" s="46" t="n">
        <v>1992</v>
      </c>
      <c r="F131" s="35" t="inlineStr">
        <is>
          <t>refunded</t>
        </is>
      </c>
      <c r="G131" s="35" t="inlineStr">
        <is>
          <t>fulfilled</t>
        </is>
      </c>
      <c r="H131" s="28" t="inlineStr">
        <is>
          <t>01 Cards, UPI, NB, Wallets by Razorpay</t>
        </is>
      </c>
      <c r="I131" s="35" t="inlineStr">
        <is>
          <t>prepaid</t>
        </is>
      </c>
      <c r="J131" s="35" t="inlineStr">
        <is>
          <t>Prepaid</t>
        </is>
      </c>
      <c r="K131" s="35" t="inlineStr">
        <is>
          <t>RTO / Returned</t>
        </is>
      </c>
      <c r="L131" s="28" t="inlineStr">
        <is>
          <t>DELIVERED</t>
        </is>
      </c>
      <c r="M131" s="28" t="inlineStr">
        <is>
          <t>BANGALORE</t>
        </is>
      </c>
      <c r="N131" s="28" t="inlineStr">
        <is>
          <t>Karnataka</t>
        </is>
      </c>
      <c r="O131" s="35" t="inlineStr">
        <is>
          <t>'560103</t>
        </is>
      </c>
      <c r="P131" s="28" t="inlineStr">
        <is>
          <t>Charcoal Zari Grace Chudidhar Set - XXL</t>
        </is>
      </c>
      <c r="Q131" s="46" t="n">
        <v>1992</v>
      </c>
      <c r="R131" s="28" t="inlineStr"/>
    </row>
    <row r="132">
      <c r="A132" s="32" t="n">
        <v>1211</v>
      </c>
      <c r="B132" s="32" t="inlineStr">
        <is>
          <t>#1211</t>
        </is>
      </c>
      <c r="C132" s="44" t="inlineStr">
        <is>
          <t>Kavitha Sachin</t>
        </is>
      </c>
      <c r="D132" s="32" t="inlineStr">
        <is>
          <t>2026-07-20</t>
        </is>
      </c>
      <c r="E132" s="45" t="n">
        <v>1032</v>
      </c>
      <c r="F132" s="32" t="inlineStr">
        <is>
          <t>paid</t>
        </is>
      </c>
      <c r="G132" s="32" t="inlineStr">
        <is>
          <t>fulfilled</t>
        </is>
      </c>
      <c r="H132" s="44" t="inlineStr">
        <is>
          <t>01 Cards, UPI, NB, Wallets by Razorpay</t>
        </is>
      </c>
      <c r="I132" s="32" t="inlineStr">
        <is>
          <t>prepaid</t>
        </is>
      </c>
      <c r="J132" s="32" t="inlineStr">
        <is>
          <t>Prepaid</t>
        </is>
      </c>
      <c r="K132" s="32" t="inlineStr">
        <is>
          <t>Delivered</t>
        </is>
      </c>
      <c r="L132" s="44" t="inlineStr">
        <is>
          <t>DELIVERED</t>
        </is>
      </c>
      <c r="M132" s="44" t="inlineStr">
        <is>
          <t>Bangalore</t>
        </is>
      </c>
      <c r="N132" s="44" t="inlineStr">
        <is>
          <t>Karnataka</t>
        </is>
      </c>
      <c r="O132" s="32" t="inlineStr">
        <is>
          <t>'560054</t>
        </is>
      </c>
      <c r="P132" s="44" t="inlineStr">
        <is>
          <t>Purple Panache - S</t>
        </is>
      </c>
      <c r="Q132" s="45" t="n">
        <v>0</v>
      </c>
      <c r="R132" s="44" t="inlineStr">
        <is>
          <t>Consignee unavailable</t>
        </is>
      </c>
    </row>
    <row r="133">
      <c r="A133" s="35" t="n">
        <v>1212</v>
      </c>
      <c r="B133" s="35" t="inlineStr">
        <is>
          <t>#1212</t>
        </is>
      </c>
      <c r="C133" s="28" t="inlineStr">
        <is>
          <t>UDHAYAVANI V</t>
        </is>
      </c>
      <c r="D133" s="35" t="inlineStr">
        <is>
          <t>2026-07-21</t>
        </is>
      </c>
      <c r="E133" s="46" t="n">
        <v>1112</v>
      </c>
      <c r="F133" s="35" t="inlineStr">
        <is>
          <t>paid</t>
        </is>
      </c>
      <c r="G133" s="35" t="inlineStr">
        <is>
          <t>fulfilled</t>
        </is>
      </c>
      <c r="H133" s="28" t="inlineStr">
        <is>
          <t>01 Cards, UPI, NB, Wallets by Razorpay</t>
        </is>
      </c>
      <c r="I133" s="35" t="inlineStr">
        <is>
          <t>prepaid</t>
        </is>
      </c>
      <c r="J133" s="35" t="inlineStr">
        <is>
          <t>Prepaid</t>
        </is>
      </c>
      <c r="K133" s="35" t="inlineStr">
        <is>
          <t>Delivered</t>
        </is>
      </c>
      <c r="L133" s="28" t="inlineStr">
        <is>
          <t>DELIVERED</t>
        </is>
      </c>
      <c r="M133" s="28" t="inlineStr">
        <is>
          <t>Kadapakkam, Edaikazhinadu</t>
        </is>
      </c>
      <c r="N133" s="28" t="inlineStr">
        <is>
          <t>Tamil Nadu</t>
        </is>
      </c>
      <c r="O133" s="35" t="inlineStr">
        <is>
          <t>'603304</t>
        </is>
      </c>
      <c r="P133" s="28" t="inlineStr">
        <is>
          <t>Coral Bloom Top - XL</t>
        </is>
      </c>
      <c r="Q133" s="46" t="n">
        <v>0</v>
      </c>
      <c r="R133" s="28" t="inlineStr"/>
    </row>
    <row r="134">
      <c r="A134" s="32" t="n">
        <v>1213</v>
      </c>
      <c r="B134" s="32" t="inlineStr">
        <is>
          <t>#1213</t>
        </is>
      </c>
      <c r="C134" s="44" t="inlineStr">
        <is>
          <t>Maria Sophia</t>
        </is>
      </c>
      <c r="D134" s="32" t="inlineStr">
        <is>
          <t>2026-07-21</t>
        </is>
      </c>
      <c r="E134" s="45" t="n">
        <v>1112</v>
      </c>
      <c r="F134" s="32" t="inlineStr">
        <is>
          <t>paid</t>
        </is>
      </c>
      <c r="G134" s="32" t="inlineStr">
        <is>
          <t>fulfilled</t>
        </is>
      </c>
      <c r="H134" s="44" t="inlineStr">
        <is>
          <t>01 Cards, UPI, NB, Wallets by Razorpay</t>
        </is>
      </c>
      <c r="I134" s="32" t="inlineStr">
        <is>
          <t>prepaid</t>
        </is>
      </c>
      <c r="J134" s="32" t="inlineStr">
        <is>
          <t>Prepaid</t>
        </is>
      </c>
      <c r="K134" s="32" t="inlineStr">
        <is>
          <t>Delivered</t>
        </is>
      </c>
      <c r="L134" s="44" t="inlineStr">
        <is>
          <t>DELIVERED</t>
        </is>
      </c>
      <c r="M134" s="44" t="inlineStr">
        <is>
          <t>Sivaganga District</t>
        </is>
      </c>
      <c r="N134" s="44" t="inlineStr">
        <is>
          <t>Tamil Nadu</t>
        </is>
      </c>
      <c r="O134" s="32" t="inlineStr">
        <is>
          <t>'630001</t>
        </is>
      </c>
      <c r="P134" s="44" t="inlineStr">
        <is>
          <t>Daisy Dusk Yellow - XXL</t>
        </is>
      </c>
      <c r="Q134" s="45" t="n">
        <v>0</v>
      </c>
      <c r="R134" s="44" t="inlineStr"/>
    </row>
    <row r="135">
      <c r="A135" s="35" t="n">
        <v>1214</v>
      </c>
      <c r="B135" s="35" t="inlineStr">
        <is>
          <t>#1214</t>
        </is>
      </c>
      <c r="C135" s="28" t="inlineStr">
        <is>
          <t>Dr. Swati Barpande</t>
        </is>
      </c>
      <c r="D135" s="35" t="inlineStr">
        <is>
          <t>2026-07-21</t>
        </is>
      </c>
      <c r="E135" s="46" t="n">
        <v>1512</v>
      </c>
      <c r="F135" s="35" t="inlineStr">
        <is>
          <t>paid</t>
        </is>
      </c>
      <c r="G135" s="35" t="inlineStr">
        <is>
          <t>fulfilled</t>
        </is>
      </c>
      <c r="H135" s="28" t="inlineStr">
        <is>
          <t>01 Cards, UPI, NB, Wallets by Razorpay</t>
        </is>
      </c>
      <c r="I135" s="35" t="inlineStr">
        <is>
          <t>prepaid</t>
        </is>
      </c>
      <c r="J135" s="35" t="inlineStr">
        <is>
          <t>Prepaid</t>
        </is>
      </c>
      <c r="K135" s="35" t="inlineStr">
        <is>
          <t>Delivered</t>
        </is>
      </c>
      <c r="L135" s="28" t="inlineStr">
        <is>
          <t>DELIVERED</t>
        </is>
      </c>
      <c r="M135" s="28" t="inlineStr">
        <is>
          <t>Nashik</t>
        </is>
      </c>
      <c r="N135" s="28" t="inlineStr">
        <is>
          <t>Maharashtra</t>
        </is>
      </c>
      <c r="O135" s="35" t="inlineStr">
        <is>
          <t>'422102</t>
        </is>
      </c>
      <c r="P135" s="28" t="inlineStr">
        <is>
          <t>Cyan Flora - L</t>
        </is>
      </c>
      <c r="Q135" s="46" t="n">
        <v>0</v>
      </c>
      <c r="R135" s="28" t="inlineStr"/>
    </row>
    <row r="136">
      <c r="A136" s="32" t="n">
        <v>1215</v>
      </c>
      <c r="B136" s="32" t="inlineStr">
        <is>
          <t>#1215</t>
        </is>
      </c>
      <c r="C136" s="44" t="inlineStr">
        <is>
          <t>Suganthi Suganthi</t>
        </is>
      </c>
      <c r="D136" s="32" t="inlineStr">
        <is>
          <t>2026-07-21</t>
        </is>
      </c>
      <c r="E136" s="45" t="n">
        <v>1032</v>
      </c>
      <c r="F136" s="32" t="inlineStr">
        <is>
          <t>paid</t>
        </is>
      </c>
      <c r="G136" s="32" t="inlineStr">
        <is>
          <t>fulfilled</t>
        </is>
      </c>
      <c r="H136" s="44" t="inlineStr">
        <is>
          <t>01 Cards, UPI, NB, Wallets by Razorpay</t>
        </is>
      </c>
      <c r="I136" s="32" t="inlineStr">
        <is>
          <t>prepaid</t>
        </is>
      </c>
      <c r="J136" s="32" t="inlineStr">
        <is>
          <t>Prepaid</t>
        </is>
      </c>
      <c r="K136" s="32" t="inlineStr">
        <is>
          <t>Delivered</t>
        </is>
      </c>
      <c r="L136" s="44" t="inlineStr">
        <is>
          <t>DELIVERED</t>
        </is>
      </c>
      <c r="M136" s="44" t="inlineStr">
        <is>
          <t>Coimbatore</t>
        </is>
      </c>
      <c r="N136" s="44" t="inlineStr">
        <is>
          <t>Tamil Nadu</t>
        </is>
      </c>
      <c r="O136" s="32" t="inlineStr">
        <is>
          <t>'641004</t>
        </is>
      </c>
      <c r="P136" s="44" t="inlineStr">
        <is>
          <t>Purple Panache - S</t>
        </is>
      </c>
      <c r="Q136" s="45" t="n">
        <v>0</v>
      </c>
      <c r="R136" s="44" t="inlineStr"/>
    </row>
    <row r="137">
      <c r="A137" s="35" t="n">
        <v>1216</v>
      </c>
      <c r="B137" s="35" t="inlineStr">
        <is>
          <t>#1216</t>
        </is>
      </c>
      <c r="C137" s="28" t="inlineStr">
        <is>
          <t>Susmitha Kasu Susmitha Kasu</t>
        </is>
      </c>
      <c r="D137" s="35" t="inlineStr">
        <is>
          <t>2026-07-21</t>
        </is>
      </c>
      <c r="E137" s="46" t="n">
        <v>1390</v>
      </c>
      <c r="F137" s="35" t="inlineStr">
        <is>
          <t>paid</t>
        </is>
      </c>
      <c r="G137" s="35" t="inlineStr">
        <is>
          <t>fulfilled</t>
        </is>
      </c>
      <c r="H137" s="28" t="inlineStr">
        <is>
          <t>01 Cards, UPI, NB, Wallets by Razorpay</t>
        </is>
      </c>
      <c r="I137" s="35" t="inlineStr">
        <is>
          <t>prepaid</t>
        </is>
      </c>
      <c r="J137" s="35" t="inlineStr">
        <is>
          <t>Prepaid</t>
        </is>
      </c>
      <c r="K137" s="35" t="inlineStr">
        <is>
          <t>Delivered</t>
        </is>
      </c>
      <c r="L137" s="28" t="inlineStr">
        <is>
          <t>DELIVERED</t>
        </is>
      </c>
      <c r="M137" s="28" t="inlineStr">
        <is>
          <t>Hyderabad</t>
        </is>
      </c>
      <c r="N137" s="28" t="inlineStr">
        <is>
          <t>Telangana</t>
        </is>
      </c>
      <c r="O137" s="35" t="inlineStr">
        <is>
          <t>'500072</t>
        </is>
      </c>
      <c r="P137" s="28" t="inlineStr">
        <is>
          <t>Sunset Petal - L</t>
        </is>
      </c>
      <c r="Q137" s="46" t="n">
        <v>0</v>
      </c>
      <c r="R137" s="28" t="inlineStr"/>
    </row>
    <row r="138">
      <c r="A138" s="32" t="n">
        <v>1217</v>
      </c>
      <c r="B138" s="32" t="inlineStr">
        <is>
          <t>#1217</t>
        </is>
      </c>
      <c r="C138" s="44" t="inlineStr">
        <is>
          <t>Swathi K</t>
        </is>
      </c>
      <c r="D138" s="32" t="inlineStr">
        <is>
          <t>2026-07-22</t>
        </is>
      </c>
      <c r="E138" s="45" t="n">
        <v>1390</v>
      </c>
      <c r="F138" s="32" t="inlineStr">
        <is>
          <t>paid</t>
        </is>
      </c>
      <c r="G138" s="32" t="inlineStr">
        <is>
          <t>fulfilled</t>
        </is>
      </c>
      <c r="H138" s="44" t="inlineStr">
        <is>
          <t>01 Cards, UPI, NB, Wallets by Razorpay</t>
        </is>
      </c>
      <c r="I138" s="32" t="inlineStr">
        <is>
          <t>prepaid</t>
        </is>
      </c>
      <c r="J138" s="32" t="inlineStr">
        <is>
          <t>Prepaid</t>
        </is>
      </c>
      <c r="K138" s="32" t="inlineStr">
        <is>
          <t>Delivered</t>
        </is>
      </c>
      <c r="L138" s="44" t="inlineStr">
        <is>
          <t>DELIVERED</t>
        </is>
      </c>
      <c r="M138" s="44" t="inlineStr">
        <is>
          <t>Visakhapatnam</t>
        </is>
      </c>
      <c r="N138" s="44" t="inlineStr">
        <is>
          <t>Andhra Pradesh</t>
        </is>
      </c>
      <c r="O138" s="32" t="inlineStr">
        <is>
          <t>'530045</t>
        </is>
      </c>
      <c r="P138" s="44" t="inlineStr">
        <is>
          <t>Daisy Dusk Yellow - 3XL</t>
        </is>
      </c>
      <c r="Q138" s="45" t="n">
        <v>0</v>
      </c>
      <c r="R138" s="44" t="inlineStr"/>
    </row>
    <row r="139">
      <c r="A139" s="35" t="n">
        <v>1218</v>
      </c>
      <c r="B139" s="35" t="inlineStr">
        <is>
          <t>#1218</t>
        </is>
      </c>
      <c r="C139" s="28" t="inlineStr">
        <is>
          <t>Srujana N</t>
        </is>
      </c>
      <c r="D139" s="35" t="inlineStr">
        <is>
          <t>2026-07-22</t>
        </is>
      </c>
      <c r="E139" s="46" t="n">
        <v>1390</v>
      </c>
      <c r="F139" s="35" t="inlineStr">
        <is>
          <t>paid</t>
        </is>
      </c>
      <c r="G139" s="35" t="inlineStr">
        <is>
          <t>fulfilled</t>
        </is>
      </c>
      <c r="H139" s="28" t="inlineStr">
        <is>
          <t>01 Cards, UPI, NB, Wallets by Razorpay</t>
        </is>
      </c>
      <c r="I139" s="35" t="inlineStr">
        <is>
          <t>prepaid</t>
        </is>
      </c>
      <c r="J139" s="35" t="inlineStr">
        <is>
          <t>Prepaid</t>
        </is>
      </c>
      <c r="K139" s="35" t="inlineStr">
        <is>
          <t>Delivered</t>
        </is>
      </c>
      <c r="L139" s="28" t="inlineStr">
        <is>
          <t>DELIVERED</t>
        </is>
      </c>
      <c r="M139" s="28" t="inlineStr">
        <is>
          <t>Hyderabad</t>
        </is>
      </c>
      <c r="N139" s="28" t="inlineStr">
        <is>
          <t>Telangana</t>
        </is>
      </c>
      <c r="O139" s="35" t="inlineStr">
        <is>
          <t>'500079</t>
        </is>
      </c>
      <c r="P139" s="28" t="inlineStr">
        <is>
          <t>Daisy Dusk Yellow - L</t>
        </is>
      </c>
      <c r="Q139" s="46" t="n">
        <v>0</v>
      </c>
      <c r="R139" s="28" t="inlineStr"/>
    </row>
    <row r="140">
      <c r="A140" s="32" t="n">
        <v>1219</v>
      </c>
      <c r="B140" s="32" t="inlineStr">
        <is>
          <t>#1219</t>
        </is>
      </c>
      <c r="C140" s="44" t="inlineStr">
        <is>
          <t>Nisha Philip</t>
        </is>
      </c>
      <c r="D140" s="32" t="inlineStr">
        <is>
          <t>2026-07-22</t>
        </is>
      </c>
      <c r="E140" s="45" t="n">
        <v>1390</v>
      </c>
      <c r="F140" s="32" t="inlineStr">
        <is>
          <t>paid</t>
        </is>
      </c>
      <c r="G140" s="32" t="inlineStr">
        <is>
          <t>fulfilled</t>
        </is>
      </c>
      <c r="H140" s="44" t="inlineStr">
        <is>
          <t>01 Cards, UPI, NB, Wallets by Razorpay</t>
        </is>
      </c>
      <c r="I140" s="32" t="inlineStr">
        <is>
          <t>prepaid</t>
        </is>
      </c>
      <c r="J140" s="32" t="inlineStr">
        <is>
          <t>Prepaid</t>
        </is>
      </c>
      <c r="K140" s="32" t="inlineStr">
        <is>
          <t>Delivered</t>
        </is>
      </c>
      <c r="L140" s="44" t="inlineStr">
        <is>
          <t>DELIVERED</t>
        </is>
      </c>
      <c r="M140" s="44" t="inlineStr">
        <is>
          <t>Kottayam</t>
        </is>
      </c>
      <c r="N140" s="44" t="inlineStr">
        <is>
          <t>Kerala</t>
        </is>
      </c>
      <c r="O140" s="32" t="inlineStr">
        <is>
          <t>'686019</t>
        </is>
      </c>
      <c r="P140" s="44" t="inlineStr">
        <is>
          <t>Wine Blossom Top - 2XL</t>
        </is>
      </c>
      <c r="Q140" s="45" t="n">
        <v>0</v>
      </c>
      <c r="R140" s="44" t="inlineStr"/>
    </row>
    <row r="141">
      <c r="A141" s="35" t="n">
        <v>1220</v>
      </c>
      <c r="B141" s="35" t="inlineStr">
        <is>
          <t>#1220</t>
        </is>
      </c>
      <c r="C141" s="28" t="inlineStr">
        <is>
          <t>Gowsalya devi Sakthivel</t>
        </is>
      </c>
      <c r="D141" s="35" t="inlineStr">
        <is>
          <t>2026-07-23</t>
        </is>
      </c>
      <c r="E141" s="46" t="n">
        <v>1390</v>
      </c>
      <c r="F141" s="35" t="inlineStr">
        <is>
          <t>paid</t>
        </is>
      </c>
      <c r="G141" s="35" t="inlineStr">
        <is>
          <t>fulfilled</t>
        </is>
      </c>
      <c r="H141" s="28" t="inlineStr">
        <is>
          <t>01 Cards, UPI, NB, Wallets by Razorpay</t>
        </is>
      </c>
      <c r="I141" s="35" t="inlineStr">
        <is>
          <t>prepaid</t>
        </is>
      </c>
      <c r="J141" s="35" t="inlineStr">
        <is>
          <t>Prepaid</t>
        </is>
      </c>
      <c r="K141" s="35" t="inlineStr">
        <is>
          <t>Delivered</t>
        </is>
      </c>
      <c r="L141" s="28" t="inlineStr">
        <is>
          <t>DELIVERED</t>
        </is>
      </c>
      <c r="M141" s="28" t="inlineStr">
        <is>
          <t>Chennai</t>
        </is>
      </c>
      <c r="N141" s="28" t="inlineStr">
        <is>
          <t>Tamil Nadu</t>
        </is>
      </c>
      <c r="O141" s="35" t="inlineStr">
        <is>
          <t>'600100</t>
        </is>
      </c>
      <c r="P141" s="28" t="inlineStr">
        <is>
          <t>Wine Blossom Top - 2XL</t>
        </is>
      </c>
      <c r="Q141" s="46" t="n">
        <v>0</v>
      </c>
      <c r="R141" s="28" t="inlineStr"/>
    </row>
    <row r="142">
      <c r="A142" s="32" t="n">
        <v>1221</v>
      </c>
      <c r="B142" s="32" t="inlineStr">
        <is>
          <t>#1221</t>
        </is>
      </c>
      <c r="C142" s="44" t="inlineStr">
        <is>
          <t>Uma Seetharaman</t>
        </is>
      </c>
      <c r="D142" s="32" t="inlineStr">
        <is>
          <t>2026-07-23</t>
        </is>
      </c>
      <c r="E142" s="45" t="n">
        <v>1290</v>
      </c>
      <c r="F142" s="32" t="inlineStr">
        <is>
          <t>paid</t>
        </is>
      </c>
      <c r="G142" s="32" t="inlineStr">
        <is>
          <t>fulfilled</t>
        </is>
      </c>
      <c r="H142" s="44" t="inlineStr">
        <is>
          <t>01 Cards, UPI, NB, Wallets by Razorpay</t>
        </is>
      </c>
      <c r="I142" s="32" t="inlineStr">
        <is>
          <t>prepaid</t>
        </is>
      </c>
      <c r="J142" s="32" t="inlineStr">
        <is>
          <t>Prepaid</t>
        </is>
      </c>
      <c r="K142" s="32" t="inlineStr">
        <is>
          <t>Delivered</t>
        </is>
      </c>
      <c r="L142" s="44" t="inlineStr">
        <is>
          <t>DELIVERED</t>
        </is>
      </c>
      <c r="M142" s="44" t="inlineStr">
        <is>
          <t>Bangalire</t>
        </is>
      </c>
      <c r="N142" s="44" t="inlineStr">
        <is>
          <t>Karnataka</t>
        </is>
      </c>
      <c r="O142" s="32" t="inlineStr">
        <is>
          <t>'560038</t>
        </is>
      </c>
      <c r="P142" s="44" t="inlineStr">
        <is>
          <t>Plum Pinstripe - L</t>
        </is>
      </c>
      <c r="Q142" s="45" t="n">
        <v>0</v>
      </c>
      <c r="R142" s="44" t="inlineStr"/>
    </row>
    <row r="143">
      <c r="A143" s="35" t="n">
        <v>1222</v>
      </c>
      <c r="B143" s="35" t="inlineStr">
        <is>
          <t>#1222</t>
        </is>
      </c>
      <c r="C143" s="28" t="inlineStr">
        <is>
          <t>Sunitha V</t>
        </is>
      </c>
      <c r="D143" s="35" t="inlineStr">
        <is>
          <t>2026-07-23</t>
        </is>
      </c>
      <c r="E143" s="46" t="n">
        <v>1390</v>
      </c>
      <c r="F143" s="35" t="inlineStr">
        <is>
          <t>paid</t>
        </is>
      </c>
      <c r="G143" s="35" t="inlineStr">
        <is>
          <t>fulfilled</t>
        </is>
      </c>
      <c r="H143" s="28" t="inlineStr">
        <is>
          <t>01 Cards, UPI, NB, Wallets by Razorpay</t>
        </is>
      </c>
      <c r="I143" s="35" t="inlineStr">
        <is>
          <t>prepaid</t>
        </is>
      </c>
      <c r="J143" s="35" t="inlineStr">
        <is>
          <t>Prepaid</t>
        </is>
      </c>
      <c r="K143" s="35" t="inlineStr">
        <is>
          <t>Delivered</t>
        </is>
      </c>
      <c r="L143" s="28" t="inlineStr">
        <is>
          <t>DELIVERED</t>
        </is>
      </c>
      <c r="M143" s="28" t="inlineStr">
        <is>
          <t>Visakhapatnam</t>
        </is>
      </c>
      <c r="N143" s="28" t="inlineStr">
        <is>
          <t>Andhra Pradesh</t>
        </is>
      </c>
      <c r="O143" s="35" t="inlineStr">
        <is>
          <t>'530041</t>
        </is>
      </c>
      <c r="P143" s="28" t="inlineStr">
        <is>
          <t>Wine Blossom Top - 2XL</t>
        </is>
      </c>
      <c r="Q143" s="46" t="n">
        <v>0</v>
      </c>
      <c r="R143" s="28" t="inlineStr"/>
    </row>
    <row r="144">
      <c r="A144" s="32" t="n">
        <v>1223</v>
      </c>
      <c r="B144" s="32" t="inlineStr">
        <is>
          <t>#1223</t>
        </is>
      </c>
      <c r="C144" s="44" t="inlineStr">
        <is>
          <t>Suganthi Sambasivam</t>
        </is>
      </c>
      <c r="D144" s="32" t="inlineStr">
        <is>
          <t>2026-07-23</t>
        </is>
      </c>
      <c r="E144" s="45" t="n">
        <v>1390</v>
      </c>
      <c r="F144" s="32" t="inlineStr">
        <is>
          <t>paid</t>
        </is>
      </c>
      <c r="G144" s="32" t="inlineStr">
        <is>
          <t>fulfilled</t>
        </is>
      </c>
      <c r="H144" s="44" t="inlineStr">
        <is>
          <t>01 Cards, UPI, NB, Wallets by Razorpay</t>
        </is>
      </c>
      <c r="I144" s="32" t="inlineStr">
        <is>
          <t>prepaid</t>
        </is>
      </c>
      <c r="J144" s="32" t="inlineStr">
        <is>
          <t>Prepaid</t>
        </is>
      </c>
      <c r="K144" s="32" t="inlineStr">
        <is>
          <t>Delivered</t>
        </is>
      </c>
      <c r="L144" s="44" t="inlineStr">
        <is>
          <t>DELIVERED</t>
        </is>
      </c>
      <c r="M144" s="44" t="inlineStr">
        <is>
          <t>Chennai</t>
        </is>
      </c>
      <c r="N144" s="44" t="inlineStr">
        <is>
          <t>Tamil Nadu</t>
        </is>
      </c>
      <c r="O144" s="32" t="inlineStr">
        <is>
          <t>'600040</t>
        </is>
      </c>
      <c r="P144" s="44" t="inlineStr">
        <is>
          <t>Copper Bloom Top - L</t>
        </is>
      </c>
      <c r="Q144" s="45" t="n">
        <v>0</v>
      </c>
      <c r="R144" s="44" t="inlineStr"/>
    </row>
    <row r="145">
      <c r="A145" s="35" t="n">
        <v>1224</v>
      </c>
      <c r="B145" s="35" t="inlineStr">
        <is>
          <t>#1224</t>
        </is>
      </c>
      <c r="C145" s="28" t="inlineStr">
        <is>
          <t>Divya K</t>
        </is>
      </c>
      <c r="D145" s="35" t="inlineStr">
        <is>
          <t>2026-07-24</t>
        </is>
      </c>
      <c r="E145" s="46" t="n">
        <v>3570</v>
      </c>
      <c r="F145" s="35" t="inlineStr">
        <is>
          <t>paid</t>
        </is>
      </c>
      <c r="G145" s="35" t="inlineStr">
        <is>
          <t>fulfilled</t>
        </is>
      </c>
      <c r="H145" s="28" t="inlineStr">
        <is>
          <t>01 Cards, UPI, NB, Wallets by Razorpay</t>
        </is>
      </c>
      <c r="I145" s="35" t="inlineStr">
        <is>
          <t>prepaid</t>
        </is>
      </c>
      <c r="J145" s="35" t="inlineStr">
        <is>
          <t>Prepaid</t>
        </is>
      </c>
      <c r="K145" s="35" t="inlineStr">
        <is>
          <t>Delivered</t>
        </is>
      </c>
      <c r="L145" s="28" t="inlineStr">
        <is>
          <t>DELIVERED</t>
        </is>
      </c>
      <c r="M145" s="28" t="inlineStr">
        <is>
          <t>Coimbatore</t>
        </is>
      </c>
      <c r="N145" s="28" t="inlineStr">
        <is>
          <t>Tamil Nadu</t>
        </is>
      </c>
      <c r="O145" s="35" t="inlineStr">
        <is>
          <t>'641048</t>
        </is>
      </c>
      <c r="P145" s="28" t="inlineStr">
        <is>
          <t>Plum Pinstripe - XL, Royal Teal Top - XL, Daisy Dusk Yellow - XL</t>
        </is>
      </c>
      <c r="Q145" s="46" t="n">
        <v>0</v>
      </c>
      <c r="R145" s="28" t="inlineStr">
        <is>
          <t>Consignee unavailable</t>
        </is>
      </c>
    </row>
    <row r="146">
      <c r="A146" s="32" t="n">
        <v>1225</v>
      </c>
      <c r="B146" s="32" t="inlineStr">
        <is>
          <t>#1225</t>
        </is>
      </c>
      <c r="C146" s="44" t="inlineStr">
        <is>
          <t>Jayapradha .</t>
        </is>
      </c>
      <c r="D146" s="32" t="inlineStr">
        <is>
          <t>2026-07-24</t>
        </is>
      </c>
      <c r="E146" s="45" t="n">
        <v>1390</v>
      </c>
      <c r="F146" s="32" t="inlineStr">
        <is>
          <t>partially_paid</t>
        </is>
      </c>
      <c r="G146" s="32" t="inlineStr">
        <is>
          <t>fulfilled</t>
        </is>
      </c>
      <c r="H146" s="44" t="inlineStr">
        <is>
          <t>Razorpay</t>
        </is>
      </c>
      <c r="I146" s="32" t="inlineStr">
        <is>
          <t>cod</t>
        </is>
      </c>
      <c r="J146" s="32" t="inlineStr">
        <is>
          <t>Partial COD</t>
        </is>
      </c>
      <c r="K146" s="32" t="inlineStr">
        <is>
          <t>Delivered</t>
        </is>
      </c>
      <c r="L146" s="44" t="inlineStr">
        <is>
          <t>DELIVERED</t>
        </is>
      </c>
      <c r="M146" s="44" t="inlineStr">
        <is>
          <t>Coimbatore</t>
        </is>
      </c>
      <c r="N146" s="44" t="inlineStr">
        <is>
          <t>Tamil Nadu</t>
        </is>
      </c>
      <c r="O146" s="32" t="inlineStr">
        <is>
          <t>'641024</t>
        </is>
      </c>
      <c r="P146" s="44" t="inlineStr">
        <is>
          <t>Daisy Dusk Yellow - L</t>
        </is>
      </c>
      <c r="Q146" s="45" t="n">
        <v>0</v>
      </c>
      <c r="R146" s="44" t="inlineStr"/>
    </row>
    <row r="147">
      <c r="A147" s="35" t="n">
        <v>1226</v>
      </c>
      <c r="B147" s="35" t="inlineStr">
        <is>
          <t>#1226</t>
        </is>
      </c>
      <c r="C147" s="28" t="inlineStr">
        <is>
          <t>Dr P RAJESHWARA PRASAD</t>
        </is>
      </c>
      <c r="D147" s="35" t="inlineStr">
        <is>
          <t>2026-07-25</t>
        </is>
      </c>
      <c r="E147" s="46" t="n">
        <v>4090</v>
      </c>
      <c r="F147" s="35" t="inlineStr">
        <is>
          <t>paid</t>
        </is>
      </c>
      <c r="G147" s="35" t="inlineStr">
        <is>
          <t>fulfilled</t>
        </is>
      </c>
      <c r="H147" s="28" t="inlineStr">
        <is>
          <t>Razorpay</t>
        </is>
      </c>
      <c r="I147" s="35" t="inlineStr">
        <is>
          <t>prepaid</t>
        </is>
      </c>
      <c r="J147" s="35" t="inlineStr">
        <is>
          <t>Prepaid</t>
        </is>
      </c>
      <c r="K147" s="35" t="inlineStr">
        <is>
          <t>Delivered</t>
        </is>
      </c>
      <c r="L147" s="28" t="inlineStr">
        <is>
          <t>DELIVERED</t>
        </is>
      </c>
      <c r="M147" s="28" t="inlineStr">
        <is>
          <t>Hyderabad</t>
        </is>
      </c>
      <c r="N147" s="28" t="inlineStr">
        <is>
          <t>Telangana</t>
        </is>
      </c>
      <c r="O147" s="35" t="inlineStr">
        <is>
          <t>'500089</t>
        </is>
      </c>
      <c r="P147" s="28" t="inlineStr">
        <is>
          <t>Ethereal Blue Anarkali Dress - XL</t>
        </is>
      </c>
      <c r="Q147" s="46" t="n">
        <v>0</v>
      </c>
      <c r="R147" s="28" t="inlineStr"/>
    </row>
    <row r="148">
      <c r="A148" s="32" t="n">
        <v>1227</v>
      </c>
      <c r="B148" s="32" t="inlineStr">
        <is>
          <t>#1227</t>
        </is>
      </c>
      <c r="C148" s="44" t="inlineStr">
        <is>
          <t>Logesh Kumar</t>
        </is>
      </c>
      <c r="D148" s="32" t="inlineStr">
        <is>
          <t>2026-07-25</t>
        </is>
      </c>
      <c r="E148" s="45" t="n">
        <v>1390</v>
      </c>
      <c r="F148" s="32" t="inlineStr">
        <is>
          <t>paid</t>
        </is>
      </c>
      <c r="G148" s="32" t="inlineStr">
        <is>
          <t>fulfilled</t>
        </is>
      </c>
      <c r="H148" s="44" t="inlineStr">
        <is>
          <t>Razorpay</t>
        </is>
      </c>
      <c r="I148" s="32" t="inlineStr">
        <is>
          <t>prepaid</t>
        </is>
      </c>
      <c r="J148" s="32" t="inlineStr">
        <is>
          <t>Prepaid</t>
        </is>
      </c>
      <c r="K148" s="32" t="inlineStr">
        <is>
          <t>Delivered</t>
        </is>
      </c>
      <c r="L148" s="44" t="inlineStr">
        <is>
          <t>DELIVERED</t>
        </is>
      </c>
      <c r="M148" s="44" t="inlineStr">
        <is>
          <t>Narasingapuram attur</t>
        </is>
      </c>
      <c r="N148" s="44" t="inlineStr">
        <is>
          <t>Tamil Nadu</t>
        </is>
      </c>
      <c r="O148" s="32" t="inlineStr">
        <is>
          <t>'636108</t>
        </is>
      </c>
      <c r="P148" s="44" t="inlineStr">
        <is>
          <t>Gulastra - M</t>
        </is>
      </c>
      <c r="Q148" s="45" t="n">
        <v>0</v>
      </c>
      <c r="R148" s="44" t="inlineStr"/>
    </row>
    <row r="149">
      <c r="A149" s="35" t="n">
        <v>1228</v>
      </c>
      <c r="B149" s="35" t="inlineStr">
        <is>
          <t>#1228</t>
        </is>
      </c>
      <c r="C149" s="28" t="inlineStr">
        <is>
          <t>Gayathri Shankaran</t>
        </is>
      </c>
      <c r="D149" s="35" t="inlineStr">
        <is>
          <t>2026-07-26</t>
        </is>
      </c>
      <c r="E149" s="46" t="n">
        <v>2480</v>
      </c>
      <c r="F149" s="35" t="inlineStr">
        <is>
          <t>paid</t>
        </is>
      </c>
      <c r="G149" s="35" t="inlineStr">
        <is>
          <t>fulfilled</t>
        </is>
      </c>
      <c r="H149" s="28" t="inlineStr">
        <is>
          <t>Razorpay + 01 Cards, UPI, NB, Wallets by Razorpay</t>
        </is>
      </c>
      <c r="I149" s="35" t="inlineStr">
        <is>
          <t>cod</t>
        </is>
      </c>
      <c r="J149" s="35" t="inlineStr">
        <is>
          <t>Partial COD</t>
        </is>
      </c>
      <c r="K149" s="35" t="inlineStr">
        <is>
          <t>Delivered</t>
        </is>
      </c>
      <c r="L149" s="28" t="inlineStr">
        <is>
          <t>DELIVERED</t>
        </is>
      </c>
      <c r="M149" s="28" t="inlineStr">
        <is>
          <t>Bandlaguda Jagir</t>
        </is>
      </c>
      <c r="N149" s="28" t="inlineStr">
        <is>
          <t>Telangana</t>
        </is>
      </c>
      <c r="O149" s="35" t="inlineStr">
        <is>
          <t>'500086</t>
        </is>
      </c>
      <c r="P149" s="28" t="inlineStr">
        <is>
          <t>Scarlet Soul - XXL, Azure Bloom Top - XXL</t>
        </is>
      </c>
      <c r="Q149" s="46" t="n">
        <v>0</v>
      </c>
      <c r="R149" s="28" t="inlineStr"/>
    </row>
    <row r="150">
      <c r="A150" s="32" t="n">
        <v>1229</v>
      </c>
      <c r="B150" s="32" t="inlineStr">
        <is>
          <t>#1229</t>
        </is>
      </c>
      <c r="C150" s="44" t="inlineStr">
        <is>
          <t>Siva N</t>
        </is>
      </c>
      <c r="D150" s="32" t="inlineStr">
        <is>
          <t>2026-07-26</t>
        </is>
      </c>
      <c r="E150" s="45" t="n">
        <v>4080</v>
      </c>
      <c r="F150" s="32" t="inlineStr">
        <is>
          <t>paid</t>
        </is>
      </c>
      <c r="G150" s="32" t="inlineStr">
        <is>
          <t>fulfilled</t>
        </is>
      </c>
      <c r="H150" s="44" t="inlineStr">
        <is>
          <t>Razorpay</t>
        </is>
      </c>
      <c r="I150" s="32" t="inlineStr">
        <is>
          <t>prepaid</t>
        </is>
      </c>
      <c r="J150" s="32" t="inlineStr">
        <is>
          <t>Prepaid</t>
        </is>
      </c>
      <c r="K150" s="32" t="inlineStr">
        <is>
          <t>Delivered</t>
        </is>
      </c>
      <c r="L150" s="44" t="inlineStr">
        <is>
          <t>DELIVERED</t>
        </is>
      </c>
      <c r="M150" s="44" t="inlineStr">
        <is>
          <t>Kandigai</t>
        </is>
      </c>
      <c r="N150" s="44" t="inlineStr">
        <is>
          <t>Tamil Nadu</t>
        </is>
      </c>
      <c r="O150" s="32" t="inlineStr">
        <is>
          <t>'600127</t>
        </is>
      </c>
      <c r="P150" s="44" t="inlineStr">
        <is>
          <t>Naurya Teal Anarkali Dress - L, Tulip Tradition - L</t>
        </is>
      </c>
      <c r="Q150" s="45" t="n">
        <v>0</v>
      </c>
      <c r="R150" s="44" t="inlineStr"/>
    </row>
    <row r="151">
      <c r="A151" s="35" t="n">
        <v>1230</v>
      </c>
      <c r="B151" s="35" t="inlineStr">
        <is>
          <t>#1230</t>
        </is>
      </c>
      <c r="C151" s="28" t="inlineStr">
        <is>
          <t>Vivekananthan .</t>
        </is>
      </c>
      <c r="D151" s="35" t="inlineStr">
        <is>
          <t>2026-07-26</t>
        </is>
      </c>
      <c r="E151" s="46" t="n">
        <v>3570</v>
      </c>
      <c r="F151" s="35" t="inlineStr">
        <is>
          <t>paid</t>
        </is>
      </c>
      <c r="G151" s="35" t="inlineStr">
        <is>
          <t>fulfilled</t>
        </is>
      </c>
      <c r="H151" s="28" t="inlineStr">
        <is>
          <t>Razorpay</t>
        </is>
      </c>
      <c r="I151" s="35" t="inlineStr">
        <is>
          <t>prepaid</t>
        </is>
      </c>
      <c r="J151" s="35" t="inlineStr">
        <is>
          <t>Prepaid</t>
        </is>
      </c>
      <c r="K151" s="35" t="inlineStr">
        <is>
          <t>Delivered</t>
        </is>
      </c>
      <c r="L151" s="28" t="inlineStr">
        <is>
          <t>UNDELIVERED-2nd Attempt</t>
        </is>
      </c>
      <c r="M151" s="28" t="inlineStr">
        <is>
          <t>Kanchipuram</t>
        </is>
      </c>
      <c r="N151" s="28" t="inlineStr">
        <is>
          <t>Tamil Nadu</t>
        </is>
      </c>
      <c r="O151" s="35" t="inlineStr">
        <is>
          <t>'603210</t>
        </is>
      </c>
      <c r="P151" s="28" t="inlineStr">
        <is>
          <t>Purple Panache - M, Daisy Dusk Yellow - M, Golden Charm Top - M</t>
        </is>
      </c>
      <c r="Q151" s="46" t="n">
        <v>0</v>
      </c>
      <c r="R151" s="28" t="inlineStr">
        <is>
          <t>Customer not available x Office or Residence closed</t>
        </is>
      </c>
    </row>
    <row r="152">
      <c r="A152" s="32" t="n">
        <v>1231</v>
      </c>
      <c r="B152" s="32" t="inlineStr">
        <is>
          <t>#1231</t>
        </is>
      </c>
      <c r="C152" s="44" t="inlineStr">
        <is>
          <t>vishalini priya</t>
        </is>
      </c>
      <c r="D152" s="32" t="inlineStr">
        <is>
          <t>2026-07-26</t>
        </is>
      </c>
      <c r="E152" s="45" t="n">
        <v>2480</v>
      </c>
      <c r="F152" s="32" t="inlineStr">
        <is>
          <t>paid</t>
        </is>
      </c>
      <c r="G152" s="32" t="inlineStr">
        <is>
          <t>fulfilled</t>
        </is>
      </c>
      <c r="H152" s="44" t="inlineStr">
        <is>
          <t>Razorpay</t>
        </is>
      </c>
      <c r="I152" s="32" t="inlineStr">
        <is>
          <t>prepaid</t>
        </is>
      </c>
      <c r="J152" s="32" t="inlineStr">
        <is>
          <t>Prepaid</t>
        </is>
      </c>
      <c r="K152" s="32" t="inlineStr">
        <is>
          <t>In Transit</t>
        </is>
      </c>
      <c r="L152" s="44" t="inlineStr">
        <is>
          <t>IN TRANSIT</t>
        </is>
      </c>
      <c r="M152" s="44" t="inlineStr">
        <is>
          <t>Kanchipuram</t>
        </is>
      </c>
      <c r="N152" s="44" t="inlineStr">
        <is>
          <t>Tamil Nadu</t>
        </is>
      </c>
      <c r="O152" s="32" t="inlineStr">
        <is>
          <t>'600117</t>
        </is>
      </c>
      <c r="P152" s="44" t="inlineStr">
        <is>
          <t>Aqua A-line - 3XL, Cherry Chevron - 3XL</t>
        </is>
      </c>
      <c r="Q152" s="45" t="n">
        <v>0</v>
      </c>
      <c r="R152" s="44" t="inlineStr"/>
    </row>
    <row r="153">
      <c r="A153" s="35" t="n">
        <v>1232</v>
      </c>
      <c r="B153" s="35" t="inlineStr">
        <is>
          <t>#1232</t>
        </is>
      </c>
      <c r="C153" s="28" t="inlineStr">
        <is>
          <t>Uma Ramani</t>
        </is>
      </c>
      <c r="D153" s="35" t="inlineStr">
        <is>
          <t>2026-07-26</t>
        </is>
      </c>
      <c r="E153" s="46" t="n">
        <v>1590</v>
      </c>
      <c r="F153" s="35" t="inlineStr">
        <is>
          <t>paid</t>
        </is>
      </c>
      <c r="G153" s="35" t="inlineStr">
        <is>
          <t>fulfilled</t>
        </is>
      </c>
      <c r="H153" s="28" t="inlineStr">
        <is>
          <t>Razorpay</t>
        </is>
      </c>
      <c r="I153" s="35" t="inlineStr">
        <is>
          <t>prepaid</t>
        </is>
      </c>
      <c r="J153" s="35" t="inlineStr">
        <is>
          <t>Prepaid</t>
        </is>
      </c>
      <c r="K153" s="35" t="inlineStr">
        <is>
          <t>REACHED DESTINATION HUB</t>
        </is>
      </c>
      <c r="L153" s="28" t="inlineStr">
        <is>
          <t>REACHED DESTINATION HUB</t>
        </is>
      </c>
      <c r="M153" s="28" t="inlineStr">
        <is>
          <t>Chennai</t>
        </is>
      </c>
      <c r="N153" s="28" t="inlineStr">
        <is>
          <t>Tamil Nadu</t>
        </is>
      </c>
      <c r="O153" s="35" t="inlineStr">
        <is>
          <t>'600037</t>
        </is>
      </c>
      <c r="P153" s="28" t="inlineStr">
        <is>
          <t>Rosy Mist - M</t>
        </is>
      </c>
      <c r="Q153" s="46" t="n">
        <v>0</v>
      </c>
      <c r="R153" s="28" t="inlineStr"/>
    </row>
    <row r="154">
      <c r="A154" s="32" t="n">
        <v>1233</v>
      </c>
      <c r="B154" s="32" t="inlineStr">
        <is>
          <t>#1233</t>
        </is>
      </c>
      <c r="C154" s="44" t="inlineStr">
        <is>
          <t>Uma Ramani</t>
        </is>
      </c>
      <c r="D154" s="32" t="inlineStr">
        <is>
          <t>2026-07-26</t>
        </is>
      </c>
      <c r="E154" s="45" t="n">
        <v>1890</v>
      </c>
      <c r="F154" s="32" t="inlineStr">
        <is>
          <t>paid</t>
        </is>
      </c>
      <c r="G154" s="32" t="inlineStr">
        <is>
          <t>fulfilled</t>
        </is>
      </c>
      <c r="H154" s="44" t="inlineStr">
        <is>
          <t>Razorpay</t>
        </is>
      </c>
      <c r="I154" s="32" t="inlineStr">
        <is>
          <t>prepaid</t>
        </is>
      </c>
      <c r="J154" s="32" t="inlineStr">
        <is>
          <t>Prepaid</t>
        </is>
      </c>
      <c r="K154" s="32" t="inlineStr">
        <is>
          <t>REACHED DESTINATION HUB</t>
        </is>
      </c>
      <c r="L154" s="44" t="inlineStr">
        <is>
          <t>REACHED DESTINATION HUB</t>
        </is>
      </c>
      <c r="M154" s="44" t="inlineStr">
        <is>
          <t>Chennai</t>
        </is>
      </c>
      <c r="N154" s="44" t="inlineStr">
        <is>
          <t>Tamil Nadu</t>
        </is>
      </c>
      <c r="O154" s="32" t="inlineStr">
        <is>
          <t>'600037</t>
        </is>
      </c>
      <c r="P154" s="44" t="inlineStr">
        <is>
          <t>Nyra Deep Green Couture Chudidhar Set - M</t>
        </is>
      </c>
      <c r="Q154" s="45" t="n">
        <v>0</v>
      </c>
      <c r="R154" s="44" t="inlineStr"/>
    </row>
    <row r="155">
      <c r="A155" s="35" t="n">
        <v>1234</v>
      </c>
      <c r="B155" s="35" t="inlineStr">
        <is>
          <t>#1234</t>
        </is>
      </c>
      <c r="C155" s="28" t="inlineStr">
        <is>
          <t>Sangeetha Reddy</t>
        </is>
      </c>
      <c r="D155" s="35" t="inlineStr">
        <is>
          <t>2026-07-26</t>
        </is>
      </c>
      <c r="E155" s="46" t="n">
        <v>1390</v>
      </c>
      <c r="F155" s="35" t="inlineStr">
        <is>
          <t>partially_paid</t>
        </is>
      </c>
      <c r="G155" s="35" t="inlineStr">
        <is>
          <t>fulfilled</t>
        </is>
      </c>
      <c r="H155" s="28" t="inlineStr">
        <is>
          <t>Razorpay</t>
        </is>
      </c>
      <c r="I155" s="35" t="inlineStr">
        <is>
          <t>cod</t>
        </is>
      </c>
      <c r="J155" s="35" t="inlineStr">
        <is>
          <t>Partial COD</t>
        </is>
      </c>
      <c r="K155" s="35" t="inlineStr">
        <is>
          <t>In Transit</t>
        </is>
      </c>
      <c r="L155" s="28" t="inlineStr">
        <is>
          <t>IN TRANSIT-EN-ROUTE</t>
        </is>
      </c>
      <c r="M155" s="28" t="inlineStr">
        <is>
          <t>Hyderabad</t>
        </is>
      </c>
      <c r="N155" s="28" t="inlineStr">
        <is>
          <t>Telangana</t>
        </is>
      </c>
      <c r="O155" s="35" t="inlineStr">
        <is>
          <t>'500033</t>
        </is>
      </c>
      <c r="P155" s="28" t="inlineStr">
        <is>
          <t>Scarlet Grace - S</t>
        </is>
      </c>
      <c r="Q155" s="46" t="n">
        <v>0</v>
      </c>
      <c r="R155" s="28" t="inlineStr"/>
    </row>
    <row r="156">
      <c r="A156" s="32" t="n">
        <v>1235</v>
      </c>
      <c r="B156" s="32" t="inlineStr">
        <is>
          <t>#1235</t>
        </is>
      </c>
      <c r="C156" s="44" t="inlineStr">
        <is>
          <t>Rani Chetty</t>
        </is>
      </c>
      <c r="D156" s="32" t="inlineStr">
        <is>
          <t>2026-07-26</t>
        </is>
      </c>
      <c r="E156" s="45" t="n">
        <v>1590</v>
      </c>
      <c r="F156" s="32" t="inlineStr">
        <is>
          <t>partially_paid</t>
        </is>
      </c>
      <c r="G156" s="32" t="inlineStr">
        <is>
          <t>fulfilled</t>
        </is>
      </c>
      <c r="H156" s="44" t="inlineStr">
        <is>
          <t>Razorpay</t>
        </is>
      </c>
      <c r="I156" s="32" t="inlineStr">
        <is>
          <t>cod</t>
        </is>
      </c>
      <c r="J156" s="32" t="inlineStr">
        <is>
          <t>Partial COD</t>
        </is>
      </c>
      <c r="K156" s="32" t="inlineStr">
        <is>
          <t>In Transit</t>
        </is>
      </c>
      <c r="L156" s="44" t="inlineStr">
        <is>
          <t>IN TRANSIT</t>
        </is>
      </c>
      <c r="M156" s="44" t="inlineStr">
        <is>
          <t>Mumbai Subueban</t>
        </is>
      </c>
      <c r="N156" s="44" t="inlineStr">
        <is>
          <t>Maharashtra</t>
        </is>
      </c>
      <c r="O156" s="32" t="inlineStr">
        <is>
          <t>'400064</t>
        </is>
      </c>
      <c r="P156" s="44" t="inlineStr">
        <is>
          <t>Pink Batik - 2XL</t>
        </is>
      </c>
      <c r="Q156" s="45" t="n">
        <v>0</v>
      </c>
      <c r="R156" s="44" t="inlineStr"/>
    </row>
    <row r="157">
      <c r="A157" s="35" t="n">
        <v>1236</v>
      </c>
      <c r="B157" s="35" t="inlineStr">
        <is>
          <t>#1236</t>
        </is>
      </c>
      <c r="C157" s="28" t="inlineStr">
        <is>
          <t>Sino Sarathkumar</t>
        </is>
      </c>
      <c r="D157" s="35" t="inlineStr">
        <is>
          <t>2026-07-27</t>
        </is>
      </c>
      <c r="E157" s="46" t="n">
        <v>1290</v>
      </c>
      <c r="F157" s="35" t="inlineStr">
        <is>
          <t>partially_paid</t>
        </is>
      </c>
      <c r="G157" s="35" t="inlineStr">
        <is>
          <t>fulfilled</t>
        </is>
      </c>
      <c r="H157" s="28" t="inlineStr">
        <is>
          <t>Razorpay</t>
        </is>
      </c>
      <c r="I157" s="35" t="inlineStr">
        <is>
          <t>cod</t>
        </is>
      </c>
      <c r="J157" s="35" t="inlineStr">
        <is>
          <t>Partial COD</t>
        </is>
      </c>
      <c r="K157" s="35" t="inlineStr">
        <is>
          <t>REACHED DESTINATION HUB</t>
        </is>
      </c>
      <c r="L157" s="28" t="inlineStr">
        <is>
          <t>REACHED DESTINATION HUB</t>
        </is>
      </c>
      <c r="M157" s="28" t="inlineStr">
        <is>
          <t>Palakkad</t>
        </is>
      </c>
      <c r="N157" s="28" t="inlineStr">
        <is>
          <t>Kerala</t>
        </is>
      </c>
      <c r="O157" s="35" t="inlineStr">
        <is>
          <t>'678001</t>
        </is>
      </c>
      <c r="P157" s="28" t="inlineStr">
        <is>
          <t>Plum Pinstripe - 2XL</t>
        </is>
      </c>
      <c r="Q157" s="46" t="n">
        <v>0</v>
      </c>
      <c r="R157" s="28" t="inlineStr"/>
    </row>
    <row r="158">
      <c r="A158" s="32" t="n">
        <v>1237</v>
      </c>
      <c r="B158" s="32" t="inlineStr">
        <is>
          <t>#1237</t>
        </is>
      </c>
      <c r="C158" s="44" t="inlineStr">
        <is>
          <t>Giri Jayaraman</t>
        </is>
      </c>
      <c r="D158" s="32" t="inlineStr">
        <is>
          <t>2026-07-27</t>
        </is>
      </c>
      <c r="E158" s="45" t="n">
        <v>5090</v>
      </c>
      <c r="F158" s="32" t="inlineStr">
        <is>
          <t>paid</t>
        </is>
      </c>
      <c r="G158" s="32" t="inlineStr">
        <is>
          <t>fulfilled</t>
        </is>
      </c>
      <c r="H158" s="44" t="inlineStr">
        <is>
          <t>Razorpay</t>
        </is>
      </c>
      <c r="I158" s="32" t="inlineStr">
        <is>
          <t>prepaid</t>
        </is>
      </c>
      <c r="J158" s="32" t="inlineStr">
        <is>
          <t>Prepaid</t>
        </is>
      </c>
      <c r="K158" s="32" t="inlineStr">
        <is>
          <t>In Transit</t>
        </is>
      </c>
      <c r="L158" s="44" t="inlineStr">
        <is>
          <t>IN TRANSIT-AT DESTINATION HUB</t>
        </is>
      </c>
      <c r="M158" s="44" t="inlineStr">
        <is>
          <t>Kanchipuram</t>
        </is>
      </c>
      <c r="N158" s="44" t="inlineStr">
        <is>
          <t>Tamil Nadu</t>
        </is>
      </c>
      <c r="O158" s="32" t="inlineStr">
        <is>
          <t>'600132</t>
        </is>
      </c>
      <c r="P158" s="44" t="inlineStr">
        <is>
          <t>Sunbloom Anarkali Dress - M</t>
        </is>
      </c>
      <c r="Q158" s="45" t="n">
        <v>0</v>
      </c>
      <c r="R158" s="44" t="inlineStr"/>
    </row>
    <row r="159">
      <c r="A159" s="35" t="n">
        <v>1238</v>
      </c>
      <c r="B159" s="35" t="inlineStr">
        <is>
          <t>#1238</t>
        </is>
      </c>
      <c r="C159" s="28" t="inlineStr">
        <is>
          <t>Yedla Sree Chandana</t>
        </is>
      </c>
      <c r="D159" s="35" t="inlineStr">
        <is>
          <t>2026-07-27</t>
        </is>
      </c>
      <c r="E159" s="46" t="n">
        <v>2190</v>
      </c>
      <c r="F159" s="35" t="inlineStr">
        <is>
          <t>paid</t>
        </is>
      </c>
      <c r="G159" s="35" t="inlineStr">
        <is>
          <t>fulfilled</t>
        </is>
      </c>
      <c r="H159" s="28" t="inlineStr">
        <is>
          <t>Razorpay</t>
        </is>
      </c>
      <c r="I159" s="35" t="inlineStr">
        <is>
          <t>prepaid</t>
        </is>
      </c>
      <c r="J159" s="35" t="inlineStr">
        <is>
          <t>Prepaid</t>
        </is>
      </c>
      <c r="K159" s="35" t="inlineStr">
        <is>
          <t>In Transit</t>
        </is>
      </c>
      <c r="L159" s="28" t="inlineStr">
        <is>
          <t>IN TRANSIT</t>
        </is>
      </c>
      <c r="M159" s="28" t="inlineStr">
        <is>
          <t>Mangalagiri</t>
        </is>
      </c>
      <c r="N159" s="28" t="inlineStr">
        <is>
          <t>Andhra Pradesh</t>
        </is>
      </c>
      <c r="O159" s="35" t="inlineStr">
        <is>
          <t>'522508</t>
        </is>
      </c>
      <c r="P159" s="28" t="inlineStr">
        <is>
          <t>Blush Ebony Elegance - M</t>
        </is>
      </c>
      <c r="Q159" s="46" t="n">
        <v>0</v>
      </c>
      <c r="R159" s="28" t="inlineStr"/>
    </row>
    <row r="160">
      <c r="A160" s="32" t="n">
        <v>1239</v>
      </c>
      <c r="B160" s="32" t="inlineStr">
        <is>
          <t>#1239</t>
        </is>
      </c>
      <c r="C160" s="44" t="inlineStr">
        <is>
          <t>Yedla Sree Chandana</t>
        </is>
      </c>
      <c r="D160" s="32" t="inlineStr">
        <is>
          <t>2026-07-27</t>
        </is>
      </c>
      <c r="E160" s="45" t="n">
        <v>1940</v>
      </c>
      <c r="F160" s="32" t="inlineStr">
        <is>
          <t>paid</t>
        </is>
      </c>
      <c r="G160" s="32" t="inlineStr">
        <is>
          <t>fulfilled</t>
        </is>
      </c>
      <c r="H160" s="44" t="inlineStr">
        <is>
          <t>Razorpay</t>
        </is>
      </c>
      <c r="I160" s="32" t="inlineStr">
        <is>
          <t>prepaid</t>
        </is>
      </c>
      <c r="J160" s="32" t="inlineStr">
        <is>
          <t>Prepaid</t>
        </is>
      </c>
      <c r="K160" s="32" t="inlineStr">
        <is>
          <t>In Transit</t>
        </is>
      </c>
      <c r="L160" s="44" t="inlineStr">
        <is>
          <t>IN TRANSIT</t>
        </is>
      </c>
      <c r="M160" s="44" t="inlineStr">
        <is>
          <t>Mangalagiri</t>
        </is>
      </c>
      <c r="N160" s="44" t="inlineStr">
        <is>
          <t>Andhra Pradesh</t>
        </is>
      </c>
      <c r="O160" s="32" t="inlineStr">
        <is>
          <t>'522508</t>
        </is>
      </c>
      <c r="P160" s="44" t="inlineStr">
        <is>
          <t>Magenta Mist Chudidhar Set - L</t>
        </is>
      </c>
      <c r="Q160" s="45" t="n">
        <v>0</v>
      </c>
      <c r="R160" s="44" t="inlineStr"/>
    </row>
    <row r="161">
      <c r="A161" s="35" t="n">
        <v>1240</v>
      </c>
      <c r="B161" s="35" t="inlineStr">
        <is>
          <t>#1240</t>
        </is>
      </c>
      <c r="C161" s="28" t="inlineStr">
        <is>
          <t>Yedla Sree Chandana</t>
        </is>
      </c>
      <c r="D161" s="35" t="inlineStr">
        <is>
          <t>2026-07-27</t>
        </is>
      </c>
      <c r="E161" s="46" t="n">
        <v>1590</v>
      </c>
      <c r="F161" s="35" t="inlineStr">
        <is>
          <t>paid</t>
        </is>
      </c>
      <c r="G161" s="35" t="inlineStr">
        <is>
          <t>fulfilled</t>
        </is>
      </c>
      <c r="H161" s="28" t="inlineStr">
        <is>
          <t>Razorpay</t>
        </is>
      </c>
      <c r="I161" s="35" t="inlineStr">
        <is>
          <t>prepaid</t>
        </is>
      </c>
      <c r="J161" s="35" t="inlineStr">
        <is>
          <t>Prepaid</t>
        </is>
      </c>
      <c r="K161" s="35" t="inlineStr">
        <is>
          <t>In Transit</t>
        </is>
      </c>
      <c r="L161" s="28" t="inlineStr">
        <is>
          <t>SHIPPED</t>
        </is>
      </c>
      <c r="M161" s="28" t="inlineStr">
        <is>
          <t>Mangalagiri</t>
        </is>
      </c>
      <c r="N161" s="28" t="inlineStr">
        <is>
          <t>Andhra Pradesh</t>
        </is>
      </c>
      <c r="O161" s="35" t="inlineStr">
        <is>
          <t>'522508</t>
        </is>
      </c>
      <c r="P161" s="28" t="inlineStr">
        <is>
          <t>Mustard Marble Mist - M</t>
        </is>
      </c>
      <c r="Q161" s="46" t="n">
        <v>0</v>
      </c>
      <c r="R161" s="28" t="inlineStr"/>
    </row>
    <row r="162">
      <c r="A162" s="32" t="n">
        <v>1243</v>
      </c>
      <c r="B162" s="32" t="inlineStr">
        <is>
          <t>#1243</t>
        </is>
      </c>
      <c r="C162" s="44" t="inlineStr">
        <is>
          <t>Das chetty</t>
        </is>
      </c>
      <c r="D162" s="32" t="inlineStr">
        <is>
          <t>2026-07-27</t>
        </is>
      </c>
      <c r="E162" s="45" t="n">
        <v>1590</v>
      </c>
      <c r="F162" s="32" t="inlineStr">
        <is>
          <t>partially_paid</t>
        </is>
      </c>
      <c r="G162" s="32" t="inlineStr">
        <is>
          <t>fulfilled</t>
        </is>
      </c>
      <c r="H162" s="44" t="inlineStr">
        <is>
          <t>Razorpay</t>
        </is>
      </c>
      <c r="I162" s="32" t="inlineStr">
        <is>
          <t>cod</t>
        </is>
      </c>
      <c r="J162" s="32" t="inlineStr">
        <is>
          <t>Partial COD</t>
        </is>
      </c>
      <c r="K162" s="32" t="inlineStr">
        <is>
          <t>In Transit</t>
        </is>
      </c>
      <c r="L162" s="44" t="inlineStr">
        <is>
          <t>IN TRANSIT-EN-ROUTE</t>
        </is>
      </c>
      <c r="M162" s="44" t="inlineStr">
        <is>
          <t>Mumbai</t>
        </is>
      </c>
      <c r="N162" s="44" t="inlineStr">
        <is>
          <t>Maharashtra</t>
        </is>
      </c>
      <c r="O162" s="32" t="inlineStr">
        <is>
          <t>'400064</t>
        </is>
      </c>
      <c r="P162" s="44" t="inlineStr">
        <is>
          <t>Blush Garden Romance - 2XL</t>
        </is>
      </c>
      <c r="Q162" s="45" t="n">
        <v>0</v>
      </c>
      <c r="R162" s="44" t="inlineStr"/>
    </row>
    <row r="163">
      <c r="A163" s="35" t="n">
        <v>1244</v>
      </c>
      <c r="B163" s="35" t="inlineStr">
        <is>
          <t>#1244</t>
        </is>
      </c>
      <c r="C163" s="28" t="inlineStr">
        <is>
          <t>Smruthi .</t>
        </is>
      </c>
      <c r="D163" s="35" t="inlineStr">
        <is>
          <t>2026-07-28</t>
        </is>
      </c>
      <c r="E163" s="46" t="n">
        <v>2480</v>
      </c>
      <c r="F163" s="35" t="inlineStr">
        <is>
          <t>paid</t>
        </is>
      </c>
      <c r="G163" s="35" t="inlineStr">
        <is>
          <t>fulfilled</t>
        </is>
      </c>
      <c r="H163" s="28" t="inlineStr">
        <is>
          <t>Razorpay</t>
        </is>
      </c>
      <c r="I163" s="35" t="inlineStr">
        <is>
          <t>prepaid</t>
        </is>
      </c>
      <c r="J163" s="35" t="inlineStr">
        <is>
          <t>Prepaid</t>
        </is>
      </c>
      <c r="K163" s="35" t="inlineStr">
        <is>
          <t>In Transit</t>
        </is>
      </c>
      <c r="L163" s="28" t="inlineStr">
        <is>
          <t>IN TRANSIT-AT DESTINATION HUB</t>
        </is>
      </c>
      <c r="M163" s="28" t="inlineStr">
        <is>
          <t>Bengaluru</t>
        </is>
      </c>
      <c r="N163" s="28" t="inlineStr">
        <is>
          <t>Karnataka</t>
        </is>
      </c>
      <c r="O163" s="35" t="inlineStr">
        <is>
          <t>'560049</t>
        </is>
      </c>
      <c r="P163" s="28" t="inlineStr">
        <is>
          <t>Mint Serena Top - S, Sapphire Charm Top - S</t>
        </is>
      </c>
      <c r="Q163" s="46" t="n">
        <v>0</v>
      </c>
      <c r="R163" s="28" t="inlineStr"/>
    </row>
    <row r="164">
      <c r="A164" s="32" t="n">
        <v>1245</v>
      </c>
      <c r="B164" s="32" t="inlineStr">
        <is>
          <t>#1245</t>
        </is>
      </c>
      <c r="C164" s="44" t="inlineStr">
        <is>
          <t>Uma Seetharaman</t>
        </is>
      </c>
      <c r="D164" s="32" t="inlineStr">
        <is>
          <t>2026-07-28</t>
        </is>
      </c>
      <c r="E164" s="45" t="n">
        <v>2890</v>
      </c>
      <c r="F164" s="32" t="inlineStr">
        <is>
          <t>paid</t>
        </is>
      </c>
      <c r="G164" s="32" t="inlineStr">
        <is>
          <t>fulfilled</t>
        </is>
      </c>
      <c r="H164" s="44" t="inlineStr">
        <is>
          <t>Razorpay</t>
        </is>
      </c>
      <c r="I164" s="32" t="inlineStr">
        <is>
          <t>prepaid</t>
        </is>
      </c>
      <c r="J164" s="32" t="inlineStr">
        <is>
          <t>Prepaid</t>
        </is>
      </c>
      <c r="K164" s="32" t="inlineStr">
        <is>
          <t>In Transit</t>
        </is>
      </c>
      <c r="L164" s="44" t="inlineStr">
        <is>
          <t>IN TRANSIT-AT DESTINATION HUB</t>
        </is>
      </c>
      <c r="M164" s="44" t="inlineStr">
        <is>
          <t>Bengaluru</t>
        </is>
      </c>
      <c r="N164" s="44" t="inlineStr">
        <is>
          <t>Karnataka</t>
        </is>
      </c>
      <c r="O164" s="32" t="inlineStr">
        <is>
          <t>'560008</t>
        </is>
      </c>
      <c r="P164" s="44" t="inlineStr">
        <is>
          <t>Naurya Teal Anarkali Dress - M</t>
        </is>
      </c>
      <c r="Q164" s="45" t="n">
        <v>0</v>
      </c>
      <c r="R164" s="44" t="inlineStr"/>
    </row>
    <row r="165">
      <c r="A165" s="35" t="n">
        <v>1246</v>
      </c>
      <c r="B165" s="35" t="inlineStr">
        <is>
          <t>#1246</t>
        </is>
      </c>
      <c r="C165" s="28" t="inlineStr">
        <is>
          <t>Bindu Babilal</t>
        </is>
      </c>
      <c r="D165" s="35" t="inlineStr">
        <is>
          <t>2026-07-28</t>
        </is>
      </c>
      <c r="E165" s="46" t="n">
        <v>1290</v>
      </c>
      <c r="F165" s="35" t="inlineStr">
        <is>
          <t>partially_paid</t>
        </is>
      </c>
      <c r="G165" s="35" t="inlineStr">
        <is>
          <t>fulfilled</t>
        </is>
      </c>
      <c r="H165" s="28" t="inlineStr">
        <is>
          <t>Razorpay</t>
        </is>
      </c>
      <c r="I165" s="35" t="inlineStr">
        <is>
          <t>cod</t>
        </is>
      </c>
      <c r="J165" s="35" t="inlineStr">
        <is>
          <t>Partial COD</t>
        </is>
      </c>
      <c r="K165" s="35" t="inlineStr">
        <is>
          <t>Delivered</t>
        </is>
      </c>
      <c r="L165" s="28" t="inlineStr">
        <is>
          <t>DELIVERED</t>
        </is>
      </c>
      <c r="M165" s="28" t="inlineStr">
        <is>
          <t>Coimbatore</t>
        </is>
      </c>
      <c r="N165" s="28" t="inlineStr">
        <is>
          <t>Tamil Nadu</t>
        </is>
      </c>
      <c r="O165" s="35" t="inlineStr">
        <is>
          <t>'641015</t>
        </is>
      </c>
      <c r="P165" s="28" t="inlineStr">
        <is>
          <t>Purple Panache - M</t>
        </is>
      </c>
      <c r="Q165" s="46" t="n">
        <v>0</v>
      </c>
      <c r="R165" s="28" t="inlineStr"/>
    </row>
    <row r="166">
      <c r="A166" s="32" t="n">
        <v>1247</v>
      </c>
      <c r="B166" s="32" t="inlineStr">
        <is>
          <t>#1247</t>
        </is>
      </c>
      <c r="C166" s="44" t="inlineStr">
        <is>
          <t>Leela Sathiyan</t>
        </is>
      </c>
      <c r="D166" s="32" t="inlineStr">
        <is>
          <t>2026-07-29</t>
        </is>
      </c>
      <c r="E166" s="45" t="n">
        <v>1390</v>
      </c>
      <c r="F166" s="32" t="inlineStr">
        <is>
          <t>paid</t>
        </is>
      </c>
      <c r="G166" s="32" t="inlineStr">
        <is>
          <t>fulfilled</t>
        </is>
      </c>
      <c r="H166" s="44" t="inlineStr">
        <is>
          <t>01 Cards, UPI, NB, Wallets by Razorpay</t>
        </is>
      </c>
      <c r="I166" s="32" t="inlineStr">
        <is>
          <t>prepaid</t>
        </is>
      </c>
      <c r="J166" s="32" t="inlineStr">
        <is>
          <t>Prepaid</t>
        </is>
      </c>
      <c r="K166" s="32" t="inlineStr">
        <is>
          <t>In Transit</t>
        </is>
      </c>
      <c r="L166" s="44" t="inlineStr">
        <is>
          <t>IN TRANSIT-AT DESTINATION HUB</t>
        </is>
      </c>
      <c r="M166" s="44" t="inlineStr">
        <is>
          <t>Chennai</t>
        </is>
      </c>
      <c r="N166" s="44" t="inlineStr">
        <is>
          <t>Tamil Nadu</t>
        </is>
      </c>
      <c r="O166" s="32" t="inlineStr">
        <is>
          <t>'600126</t>
        </is>
      </c>
      <c r="P166" s="44" t="inlineStr">
        <is>
          <t>Daisy Dusk Yellow - S</t>
        </is>
      </c>
      <c r="Q166" s="45" t="n">
        <v>0</v>
      </c>
      <c r="R166" s="44" t="inlineStr"/>
    </row>
    <row r="167">
      <c r="A167" s="35" t="n">
        <v>1248</v>
      </c>
      <c r="B167" s="35" t="inlineStr">
        <is>
          <t>#1248</t>
        </is>
      </c>
      <c r="C167" s="28" t="inlineStr">
        <is>
          <t>Vineetha Naga</t>
        </is>
      </c>
      <c r="D167" s="35" t="inlineStr">
        <is>
          <t>2026-07-29</t>
        </is>
      </c>
      <c r="E167" s="46" t="n">
        <v>2380</v>
      </c>
      <c r="F167" s="35" t="inlineStr">
        <is>
          <t>paid</t>
        </is>
      </c>
      <c r="G167" s="35" t="inlineStr">
        <is>
          <t>fulfilled</t>
        </is>
      </c>
      <c r="H167" s="28" t="inlineStr">
        <is>
          <t>Razorpay</t>
        </is>
      </c>
      <c r="I167" s="35" t="inlineStr">
        <is>
          <t>prepaid</t>
        </is>
      </c>
      <c r="J167" s="35" t="inlineStr">
        <is>
          <t>Prepaid</t>
        </is>
      </c>
      <c r="K167" s="35" t="inlineStr">
        <is>
          <t>In Transit</t>
        </is>
      </c>
      <c r="L167" s="28" t="inlineStr">
        <is>
          <t>IN TRANSIT</t>
        </is>
      </c>
      <c r="M167" s="28" t="inlineStr">
        <is>
          <t>Rangareddy</t>
        </is>
      </c>
      <c r="N167" s="28" t="inlineStr">
        <is>
          <t>Telangana</t>
        </is>
      </c>
      <c r="O167" s="35" t="inlineStr">
        <is>
          <t>'500084</t>
        </is>
      </c>
      <c r="P167" s="28" t="inlineStr">
        <is>
          <t>Plum Pinstripe - XL, Mint Serena Top - XL</t>
        </is>
      </c>
      <c r="Q167" s="46" t="n">
        <v>0</v>
      </c>
      <c r="R167" s="28" t="inlineStr"/>
    </row>
    <row r="168">
      <c r="A168" s="32" t="n">
        <v>1249</v>
      </c>
      <c r="B168" s="32" t="inlineStr">
        <is>
          <t>#1249</t>
        </is>
      </c>
      <c r="C168" s="44" t="inlineStr">
        <is>
          <t>Sree Latha</t>
        </is>
      </c>
      <c r="D168" s="32" t="inlineStr">
        <is>
          <t>2026-07-29</t>
        </is>
      </c>
      <c r="E168" s="45" t="n">
        <v>1390</v>
      </c>
      <c r="F168" s="32" t="inlineStr">
        <is>
          <t>partially_paid</t>
        </is>
      </c>
      <c r="G168" s="32" t="inlineStr">
        <is>
          <t>fulfilled</t>
        </is>
      </c>
      <c r="H168" s="44" t="inlineStr">
        <is>
          <t>Razorpay</t>
        </is>
      </c>
      <c r="I168" s="32" t="inlineStr">
        <is>
          <t>cod</t>
        </is>
      </c>
      <c r="J168" s="32" t="inlineStr">
        <is>
          <t>Partial COD</t>
        </is>
      </c>
      <c r="K168" s="32" t="inlineStr">
        <is>
          <t>PICKED UP</t>
        </is>
      </c>
      <c r="L168" s="44" t="inlineStr">
        <is>
          <t>PICKED UP</t>
        </is>
      </c>
      <c r="M168" s="44" t="inlineStr">
        <is>
          <t>Rangareddy</t>
        </is>
      </c>
      <c r="N168" s="44" t="inlineStr">
        <is>
          <t>Telangana</t>
        </is>
      </c>
      <c r="O168" s="32" t="inlineStr">
        <is>
          <t>'500074</t>
        </is>
      </c>
      <c r="P168" s="44" t="inlineStr">
        <is>
          <t>Geometric Glam - XXL</t>
        </is>
      </c>
      <c r="Q168" s="45" t="n">
        <v>0</v>
      </c>
      <c r="R168" s="44" t="inlineStr"/>
    </row>
    <row r="169">
      <c r="A169" s="35" t="n">
        <v>1250</v>
      </c>
      <c r="B169" s="35" t="inlineStr">
        <is>
          <t>#1250</t>
        </is>
      </c>
      <c r="C169" s="28" t="inlineStr">
        <is>
          <t>Rashmika .</t>
        </is>
      </c>
      <c r="D169" s="35" t="inlineStr">
        <is>
          <t>2026-07-29</t>
        </is>
      </c>
      <c r="E169" s="46" t="n">
        <v>1390</v>
      </c>
      <c r="F169" s="35" t="inlineStr">
        <is>
          <t>partially_paid</t>
        </is>
      </c>
      <c r="G169" s="35" t="inlineStr">
        <is>
          <t>fulfilled</t>
        </is>
      </c>
      <c r="H169" s="28" t="inlineStr">
        <is>
          <t>Razorpay</t>
        </is>
      </c>
      <c r="I169" s="35" t="inlineStr">
        <is>
          <t>cod</t>
        </is>
      </c>
      <c r="J169" s="35" t="inlineStr">
        <is>
          <t>Partial COD</t>
        </is>
      </c>
      <c r="K169" s="35" t="inlineStr">
        <is>
          <t>In Transit</t>
        </is>
      </c>
      <c r="L169" s="28" t="inlineStr">
        <is>
          <t>SHIPPED</t>
        </is>
      </c>
      <c r="M169" s="28" t="inlineStr">
        <is>
          <t>Virudhunagar</t>
        </is>
      </c>
      <c r="N169" s="28" t="inlineStr">
        <is>
          <t>Tamil Nadu</t>
        </is>
      </c>
      <c r="O169" s="35" t="inlineStr">
        <is>
          <t>'626203</t>
        </is>
      </c>
      <c r="P169" s="28" t="inlineStr">
        <is>
          <t>Wine Blossom Top - S</t>
        </is>
      </c>
      <c r="Q169" s="46" t="n">
        <v>0</v>
      </c>
      <c r="R169" s="28" t="inlineStr"/>
    </row>
    <row r="170">
      <c r="A170" s="32" t="n">
        <v>1251</v>
      </c>
      <c r="B170" s="32" t="inlineStr">
        <is>
          <t>#1251</t>
        </is>
      </c>
      <c r="C170" s="44" t="inlineStr">
        <is>
          <t>Akhil Akulwar</t>
        </is>
      </c>
      <c r="D170" s="32" t="inlineStr">
        <is>
          <t>2026-07-30</t>
        </is>
      </c>
      <c r="E170" s="45" t="n">
        <v>5090</v>
      </c>
      <c r="F170" s="32" t="inlineStr">
        <is>
          <t>partially_paid</t>
        </is>
      </c>
      <c r="G170" s="32" t="inlineStr">
        <is>
          <t>unfulfilled</t>
        </is>
      </c>
      <c r="H170" s="44" t="inlineStr">
        <is>
          <t>Razorpay</t>
        </is>
      </c>
      <c r="I170" s="32" t="inlineStr">
        <is>
          <t>cod</t>
        </is>
      </c>
      <c r="J170" s="32" t="inlineStr">
        <is>
          <t>Partial COD</t>
        </is>
      </c>
      <c r="K170" s="32" t="inlineStr">
        <is>
          <t>New / Unfulfilled</t>
        </is>
      </c>
      <c r="L170" s="44" t="inlineStr">
        <is>
          <t>NEW ORDER</t>
        </is>
      </c>
      <c r="M170" s="44" t="inlineStr">
        <is>
          <t>Yavatmal</t>
        </is>
      </c>
      <c r="N170" s="44" t="inlineStr">
        <is>
          <t>Maharashtra</t>
        </is>
      </c>
      <c r="O170" s="32" t="inlineStr">
        <is>
          <t>'445305</t>
        </is>
      </c>
      <c r="P170" s="44" t="inlineStr">
        <is>
          <t>Petal Mist Anarkali Dress - S</t>
        </is>
      </c>
      <c r="Q170" s="45" t="n">
        <v>0</v>
      </c>
      <c r="R170" s="44" t="inlineStr"/>
    </row>
    <row r="171">
      <c r="A171" s="35" t="n">
        <v>1252</v>
      </c>
      <c r="B171" s="35" t="inlineStr">
        <is>
          <t>#1252</t>
        </is>
      </c>
      <c r="C171" s="28" t="inlineStr">
        <is>
          <t>Mohan raj G</t>
        </is>
      </c>
      <c r="D171" s="35" t="inlineStr">
        <is>
          <t>2026-07-30</t>
        </is>
      </c>
      <c r="E171" s="46" t="n">
        <v>2890</v>
      </c>
      <c r="F171" s="35" t="inlineStr">
        <is>
          <t>paid</t>
        </is>
      </c>
      <c r="G171" s="35" t="inlineStr">
        <is>
          <t>unfulfilled</t>
        </is>
      </c>
      <c r="H171" s="28" t="inlineStr">
        <is>
          <t>Razorpay</t>
        </is>
      </c>
      <c r="I171" s="35" t="inlineStr">
        <is>
          <t>prepaid</t>
        </is>
      </c>
      <c r="J171" s="35" t="inlineStr">
        <is>
          <t>Prepaid</t>
        </is>
      </c>
      <c r="K171" s="35" t="inlineStr">
        <is>
          <t>New / Unfulfilled</t>
        </is>
      </c>
      <c r="L171" s="28" t="inlineStr">
        <is>
          <t>NEW ORDER</t>
        </is>
      </c>
      <c r="M171" s="28" t="inlineStr">
        <is>
          <t>Edappadi</t>
        </is>
      </c>
      <c r="N171" s="28" t="inlineStr">
        <is>
          <t>Tamil Nadu</t>
        </is>
      </c>
      <c r="O171" s="35" t="inlineStr">
        <is>
          <t>'637101</t>
        </is>
      </c>
      <c r="P171" s="28" t="inlineStr">
        <is>
          <t>Raagamanjari Anarkali Dress - M</t>
        </is>
      </c>
      <c r="Q171" s="46" t="n">
        <v>0</v>
      </c>
      <c r="R171" s="28" t="inlineStr"/>
    </row>
    <row r="172">
      <c r="A172" s="32" t="n">
        <v>1253</v>
      </c>
      <c r="B172" s="32" t="inlineStr">
        <is>
          <t>#1253</t>
        </is>
      </c>
      <c r="C172" s="44" t="inlineStr">
        <is>
          <t>Keerthana .</t>
        </is>
      </c>
      <c r="D172" s="32" t="inlineStr">
        <is>
          <t>2026-07-30</t>
        </is>
      </c>
      <c r="E172" s="45" t="n">
        <v>1390</v>
      </c>
      <c r="F172" s="32" t="inlineStr">
        <is>
          <t>partially_paid</t>
        </is>
      </c>
      <c r="G172" s="32" t="inlineStr">
        <is>
          <t>unfulfilled</t>
        </is>
      </c>
      <c r="H172" s="44" t="inlineStr">
        <is>
          <t>Razorpay</t>
        </is>
      </c>
      <c r="I172" s="32" t="inlineStr">
        <is>
          <t>cod</t>
        </is>
      </c>
      <c r="J172" s="32" t="inlineStr">
        <is>
          <t>Partial COD</t>
        </is>
      </c>
      <c r="K172" s="32" t="inlineStr">
        <is>
          <t>New / Unfulfilled</t>
        </is>
      </c>
      <c r="L172" s="44" t="inlineStr">
        <is>
          <t>NEW ORDER</t>
        </is>
      </c>
      <c r="M172" s="44" t="inlineStr">
        <is>
          <t>Warangal</t>
        </is>
      </c>
      <c r="N172" s="44" t="inlineStr">
        <is>
          <t>Telangana</t>
        </is>
      </c>
      <c r="O172" s="32" t="inlineStr">
        <is>
          <t>'506009</t>
        </is>
      </c>
      <c r="P172" s="44" t="inlineStr">
        <is>
          <t>Sunset Petal - L</t>
        </is>
      </c>
      <c r="Q172" s="45" t="n">
        <v>0</v>
      </c>
      <c r="R172" s="44" t="inlineStr"/>
    </row>
    <row r="173">
      <c r="A173" s="35" t="n">
        <v>1254</v>
      </c>
      <c r="B173" s="35" t="inlineStr">
        <is>
          <t>#1254</t>
        </is>
      </c>
      <c r="C173" s="28" t="inlineStr">
        <is>
          <t>Saranya .</t>
        </is>
      </c>
      <c r="D173" s="35" t="inlineStr">
        <is>
          <t>2026-07-30</t>
        </is>
      </c>
      <c r="E173" s="46" t="n">
        <v>2890</v>
      </c>
      <c r="F173" s="35" t="inlineStr">
        <is>
          <t>paid</t>
        </is>
      </c>
      <c r="G173" s="35" t="inlineStr">
        <is>
          <t>unfulfilled</t>
        </is>
      </c>
      <c r="H173" s="28" t="inlineStr">
        <is>
          <t>Razorpay</t>
        </is>
      </c>
      <c r="I173" s="35" t="inlineStr">
        <is>
          <t>prepaid</t>
        </is>
      </c>
      <c r="J173" s="35" t="inlineStr">
        <is>
          <t>Prepaid</t>
        </is>
      </c>
      <c r="K173" s="35" t="inlineStr">
        <is>
          <t>New / Unfulfilled</t>
        </is>
      </c>
      <c r="L173" s="28" t="inlineStr">
        <is>
          <t>NEW ORDER</t>
        </is>
      </c>
      <c r="M173" s="28" t="inlineStr">
        <is>
          <t>CHENNAI</t>
        </is>
      </c>
      <c r="N173" s="28" t="inlineStr">
        <is>
          <t>Tamil Nadu</t>
        </is>
      </c>
      <c r="O173" s="35" t="inlineStr">
        <is>
          <t>'600101</t>
        </is>
      </c>
      <c r="P173" s="28" t="inlineStr">
        <is>
          <t>Tharaneela Anarkali Dress - XL</t>
        </is>
      </c>
      <c r="Q173" s="46" t="n">
        <v>0</v>
      </c>
      <c r="R173" s="28" t="inlineStr"/>
    </row>
    <row r="174">
      <c r="A174" s="32" t="n">
        <v>1255</v>
      </c>
      <c r="B174" s="32" t="inlineStr">
        <is>
          <t>#1255</t>
        </is>
      </c>
      <c r="C174" s="44" t="inlineStr">
        <is>
          <t>M Anitha</t>
        </is>
      </c>
      <c r="D174" s="32" t="inlineStr">
        <is>
          <t>2026-07-30</t>
        </is>
      </c>
      <c r="E174" s="45" t="n">
        <v>3590</v>
      </c>
      <c r="F174" s="32" t="inlineStr">
        <is>
          <t>paid</t>
        </is>
      </c>
      <c r="G174" s="32" t="inlineStr">
        <is>
          <t>unfulfilled</t>
        </is>
      </c>
      <c r="H174" s="44" t="inlineStr">
        <is>
          <t>Razorpay</t>
        </is>
      </c>
      <c r="I174" s="32" t="inlineStr">
        <is>
          <t>prepaid</t>
        </is>
      </c>
      <c r="J174" s="32" t="inlineStr">
        <is>
          <t>Prepaid</t>
        </is>
      </c>
      <c r="K174" s="32" t="inlineStr">
        <is>
          <t>New / Unfulfilled</t>
        </is>
      </c>
      <c r="L174" s="44" t="inlineStr">
        <is>
          <t>NEW ORDER</t>
        </is>
      </c>
      <c r="M174" s="44" t="inlineStr">
        <is>
          <t>Vijayawada</t>
        </is>
      </c>
      <c r="N174" s="44" t="inlineStr">
        <is>
          <t>Andhra Pradesh</t>
        </is>
      </c>
      <c r="O174" s="32" t="inlineStr">
        <is>
          <t>'520011</t>
        </is>
      </c>
      <c r="P174" s="44" t="inlineStr">
        <is>
          <t>Indraneela Anarkali Dress - M</t>
        </is>
      </c>
      <c r="Q174" s="45" t="n">
        <v>0</v>
      </c>
      <c r="R174" s="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2026-07-31T05:01:11Z</dcterms:created>
  <dcterms:modified xsi:type="dcterms:W3CDTF">2026-07-31T05:01:12Z</dcterms:modified>
</cp:coreProperties>
</file>